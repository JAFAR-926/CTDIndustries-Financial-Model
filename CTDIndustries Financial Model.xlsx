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defaultThemeVersion="124226"/>
  <xr:revisionPtr revIDLastSave="0" documentId="13_ncr:1_{25C120BF-8205-452E-A6F2-D9B6C36DFB26}" xr6:coauthVersionLast="47" xr6:coauthVersionMax="47" xr10:uidLastSave="{00000000-0000-0000-0000-000000000000}"/>
  <bookViews>
    <workbookView xWindow="-104" yWindow="-104" windowWidth="22326" windowHeight="11924" xr2:uid="{54766CDB-71F5-419F-824D-280583FD52AB}"/>
  </bookViews>
  <sheets>
    <sheet name="Cover" sheetId="2" r:id="rId1"/>
    <sheet name="Hist" sheetId="7" r:id="rId2"/>
    <sheet name="Summary" sheetId="6" r:id="rId3"/>
    <sheet name="Inp" sheetId="3" r:id="rId4"/>
    <sheet name="Scenarios" sheetId="4" r:id="rId5"/>
    <sheet name="Model" sheetId="5" r:id="rId6"/>
  </sheets>
  <definedNames>
    <definedName name="BSCheck">Model!$F$119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_Scenarios">Scenarios!$D$12:$D$14</definedName>
    <definedName name="million">Inp!$F$12</definedName>
    <definedName name="_xlnm.Print_Area" localSheetId="0">Cover!$A$1:$H$19</definedName>
    <definedName name="_xlnm.Print_Area" localSheetId="2">Summary!$A$1:$P$65</definedName>
    <definedName name="_xlnm.Print_Titles" localSheetId="3">Inp!$1:$6</definedName>
    <definedName name="_xlnm.Print_Titles" localSheetId="5">Model!$1:$6</definedName>
    <definedName name="_xlnm.Print_Titles" localSheetId="4">Scenarios!$1:$6</definedName>
    <definedName name="_xlnm.Print_Titles" localSheetId="2">Summary!$1:$6</definedName>
    <definedName name="S_Scenarios">Scenarios!$E$11</definedName>
    <definedName name="ScenarioUSed">Scenarios!$D$11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7" l="1"/>
  <c r="I11" i="7"/>
  <c r="G11" i="7"/>
  <c r="H10" i="7"/>
  <c r="I10" i="7"/>
  <c r="G10" i="7"/>
  <c r="I9" i="7"/>
  <c r="H9" i="7"/>
  <c r="I65" i="7"/>
  <c r="I73" i="7" s="1"/>
  <c r="I75" i="7" s="1"/>
  <c r="H65" i="7"/>
  <c r="H73" i="7" s="1"/>
  <c r="H75" i="7" s="1"/>
  <c r="H77" i="7" s="1"/>
  <c r="G88" i="7"/>
  <c r="G92" i="7" s="1"/>
  <c r="G101" i="7" s="1"/>
  <c r="G123" i="7"/>
  <c r="H121" i="7"/>
  <c r="I121" i="7"/>
  <c r="G121" i="7"/>
  <c r="G115" i="7"/>
  <c r="H113" i="7"/>
  <c r="I113" i="7"/>
  <c r="G113" i="7"/>
  <c r="H108" i="7"/>
  <c r="H115" i="7" s="1"/>
  <c r="H123" i="7" s="1"/>
  <c r="I108" i="7"/>
  <c r="I115" i="7" s="1"/>
  <c r="I123" i="7" s="1"/>
  <c r="G108" i="7"/>
  <c r="H99" i="7"/>
  <c r="I99" i="7"/>
  <c r="G99" i="7"/>
  <c r="G77" i="7"/>
  <c r="H76" i="7" s="1"/>
  <c r="J74" i="5" s="1"/>
  <c r="G75" i="7"/>
  <c r="G73" i="7"/>
  <c r="H61" i="7"/>
  <c r="I61" i="7"/>
  <c r="G61" i="7"/>
  <c r="H54" i="7"/>
  <c r="I54" i="7"/>
  <c r="G54" i="7"/>
  <c r="H36" i="7"/>
  <c r="I36" i="7"/>
  <c r="G36" i="7"/>
  <c r="H33" i="7"/>
  <c r="I33" i="7"/>
  <c r="G33" i="7"/>
  <c r="H31" i="7"/>
  <c r="I31" i="7"/>
  <c r="G31" i="7"/>
  <c r="H27" i="7"/>
  <c r="I27" i="7"/>
  <c r="G27" i="7"/>
  <c r="H23" i="7"/>
  <c r="I23" i="7"/>
  <c r="G23" i="7"/>
  <c r="H20" i="7"/>
  <c r="I20" i="7"/>
  <c r="G20" i="7"/>
  <c r="H17" i="7"/>
  <c r="I17" i="7"/>
  <c r="G17" i="7"/>
  <c r="K274" i="5"/>
  <c r="C117" i="5"/>
  <c r="D115" i="5"/>
  <c r="K114" i="5"/>
  <c r="J114" i="5"/>
  <c r="I114" i="5"/>
  <c r="D114" i="5"/>
  <c r="K113" i="5"/>
  <c r="J113" i="5"/>
  <c r="I113" i="5"/>
  <c r="D113" i="5"/>
  <c r="K112" i="5"/>
  <c r="J112" i="5"/>
  <c r="I112" i="5"/>
  <c r="D112" i="5"/>
  <c r="K111" i="5"/>
  <c r="J111" i="5"/>
  <c r="I111" i="5"/>
  <c r="D111" i="5"/>
  <c r="D109" i="5"/>
  <c r="D107" i="5"/>
  <c r="K106" i="5"/>
  <c r="J106" i="5"/>
  <c r="I106" i="5"/>
  <c r="D106" i="5"/>
  <c r="K105" i="5"/>
  <c r="J105" i="5"/>
  <c r="I105" i="5"/>
  <c r="D105" i="5"/>
  <c r="K104" i="5"/>
  <c r="J104" i="5"/>
  <c r="I104" i="5"/>
  <c r="D104" i="5"/>
  <c r="D102" i="5"/>
  <c r="K101" i="5"/>
  <c r="J101" i="5"/>
  <c r="I101" i="5"/>
  <c r="D101" i="5"/>
  <c r="K100" i="5"/>
  <c r="J100" i="5"/>
  <c r="I100" i="5"/>
  <c r="D100" i="5"/>
  <c r="K99" i="5"/>
  <c r="J99" i="5"/>
  <c r="I99" i="5"/>
  <c r="D99" i="5"/>
  <c r="C98" i="5"/>
  <c r="D95" i="5"/>
  <c r="D93" i="5"/>
  <c r="K92" i="5"/>
  <c r="J92" i="5"/>
  <c r="I92" i="5"/>
  <c r="D92" i="5"/>
  <c r="K91" i="5"/>
  <c r="J91" i="5"/>
  <c r="I91" i="5"/>
  <c r="D91" i="5"/>
  <c r="K90" i="5"/>
  <c r="J90" i="5"/>
  <c r="I90" i="5"/>
  <c r="D90" i="5"/>
  <c r="K89" i="5"/>
  <c r="J89" i="5"/>
  <c r="I89" i="5"/>
  <c r="D89" i="5"/>
  <c r="K88" i="5"/>
  <c r="J88" i="5"/>
  <c r="I88" i="5"/>
  <c r="D88" i="5"/>
  <c r="D86" i="5"/>
  <c r="K85" i="5"/>
  <c r="J85" i="5"/>
  <c r="I85" i="5"/>
  <c r="D85" i="5"/>
  <c r="K84" i="5"/>
  <c r="J84" i="5"/>
  <c r="I84" i="5"/>
  <c r="D84" i="5"/>
  <c r="K83" i="5"/>
  <c r="J83" i="5"/>
  <c r="I83" i="5"/>
  <c r="D83" i="5"/>
  <c r="D82" i="5"/>
  <c r="C81" i="5"/>
  <c r="D75" i="5"/>
  <c r="I74" i="5"/>
  <c r="D74" i="5"/>
  <c r="D73" i="5"/>
  <c r="D71" i="5"/>
  <c r="K70" i="5"/>
  <c r="J70" i="5"/>
  <c r="I70" i="5"/>
  <c r="D70" i="5"/>
  <c r="K69" i="5"/>
  <c r="J69" i="5"/>
  <c r="I69" i="5"/>
  <c r="D69" i="5"/>
  <c r="K68" i="5"/>
  <c r="J68" i="5"/>
  <c r="I68" i="5"/>
  <c r="D68" i="5"/>
  <c r="K67" i="5"/>
  <c r="J67" i="5"/>
  <c r="I67" i="5"/>
  <c r="D67" i="5"/>
  <c r="K66" i="5"/>
  <c r="J66" i="5"/>
  <c r="I66" i="5"/>
  <c r="D66" i="5"/>
  <c r="K65" i="5"/>
  <c r="J65" i="5"/>
  <c r="I65" i="5"/>
  <c r="D65" i="5"/>
  <c r="K64" i="5"/>
  <c r="J64" i="5"/>
  <c r="I64" i="5"/>
  <c r="D64" i="5"/>
  <c r="I63" i="5"/>
  <c r="D63" i="5"/>
  <c r="C62" i="5"/>
  <c r="D60" i="5"/>
  <c r="K59" i="5"/>
  <c r="J59" i="5"/>
  <c r="I59" i="5"/>
  <c r="D59" i="5"/>
  <c r="K58" i="5"/>
  <c r="J58" i="5"/>
  <c r="I58" i="5"/>
  <c r="K57" i="5"/>
  <c r="J57" i="5"/>
  <c r="I57" i="5"/>
  <c r="D57" i="5"/>
  <c r="C56" i="5"/>
  <c r="D54" i="5"/>
  <c r="K53" i="5"/>
  <c r="J53" i="5"/>
  <c r="I53" i="5"/>
  <c r="D53" i="5"/>
  <c r="K51" i="5"/>
  <c r="J51" i="5"/>
  <c r="I51" i="5"/>
  <c r="D51" i="5"/>
  <c r="K50" i="5"/>
  <c r="J50" i="5"/>
  <c r="I50" i="5"/>
  <c r="D50" i="5"/>
  <c r="K49" i="5"/>
  <c r="J49" i="5"/>
  <c r="I49" i="5"/>
  <c r="D49" i="5"/>
  <c r="K48" i="5"/>
  <c r="J48" i="5"/>
  <c r="I48" i="5"/>
  <c r="D48" i="5"/>
  <c r="C47" i="5"/>
  <c r="K34" i="5"/>
  <c r="J34" i="5"/>
  <c r="I34" i="5"/>
  <c r="D32" i="5"/>
  <c r="D30" i="5"/>
  <c r="K29" i="5"/>
  <c r="J29" i="5"/>
  <c r="I29" i="5"/>
  <c r="D29" i="5"/>
  <c r="K28" i="5"/>
  <c r="J28" i="5"/>
  <c r="I28" i="5"/>
  <c r="D28" i="5"/>
  <c r="D26" i="5"/>
  <c r="K25" i="5"/>
  <c r="J25" i="5"/>
  <c r="I25" i="5"/>
  <c r="D25" i="5"/>
  <c r="K24" i="5"/>
  <c r="J24" i="5"/>
  <c r="I24" i="5"/>
  <c r="D24" i="5"/>
  <c r="D22" i="5"/>
  <c r="K21" i="5"/>
  <c r="J21" i="5"/>
  <c r="I21" i="5"/>
  <c r="D21" i="5"/>
  <c r="D19" i="5"/>
  <c r="K18" i="5"/>
  <c r="J18" i="5"/>
  <c r="I18" i="5"/>
  <c r="D18" i="5"/>
  <c r="D16" i="5"/>
  <c r="K15" i="5"/>
  <c r="J15" i="5"/>
  <c r="I15" i="5"/>
  <c r="D15" i="5"/>
  <c r="K14" i="5"/>
  <c r="J14" i="5"/>
  <c r="I14" i="5"/>
  <c r="D14" i="5"/>
  <c r="K12" i="5"/>
  <c r="J12" i="5"/>
  <c r="I12" i="5"/>
  <c r="D12" i="5"/>
  <c r="K6" i="5"/>
  <c r="J6" i="5"/>
  <c r="I6" i="5"/>
  <c r="K6" i="4"/>
  <c r="J6" i="4"/>
  <c r="I6" i="4"/>
  <c r="K88" i="3"/>
  <c r="J88" i="3"/>
  <c r="I88" i="3"/>
  <c r="K87" i="3"/>
  <c r="J87" i="3"/>
  <c r="I87" i="3"/>
  <c r="D87" i="3"/>
  <c r="K86" i="3"/>
  <c r="J86" i="3"/>
  <c r="I86" i="3"/>
  <c r="K85" i="3"/>
  <c r="J85" i="3"/>
  <c r="I85" i="3"/>
  <c r="D85" i="3"/>
  <c r="K84" i="3"/>
  <c r="J84" i="3"/>
  <c r="I84" i="3"/>
  <c r="D84" i="3"/>
  <c r="K81" i="3"/>
  <c r="J81" i="3"/>
  <c r="I81" i="3"/>
  <c r="K80" i="3"/>
  <c r="J80" i="3"/>
  <c r="I80" i="3"/>
  <c r="K45" i="3"/>
  <c r="K30" i="3"/>
  <c r="K6" i="3"/>
  <c r="J6" i="3"/>
  <c r="I6" i="3"/>
  <c r="K6" i="6"/>
  <c r="J6" i="6"/>
  <c r="I6" i="6"/>
  <c r="D14" i="2"/>
  <c r="Q315" i="5"/>
  <c r="Q278" i="5"/>
  <c r="Q340" i="5"/>
  <c r="Q341" i="5"/>
  <c r="K63" i="5" l="1"/>
  <c r="J63" i="5"/>
  <c r="I76" i="7"/>
  <c r="I77" i="7" s="1"/>
  <c r="H88" i="7"/>
  <c r="H92" i="7" s="1"/>
  <c r="H101" i="7" s="1"/>
  <c r="I82" i="5"/>
  <c r="J75" i="5"/>
  <c r="I75" i="5"/>
  <c r="K75" i="5" l="1"/>
  <c r="I88" i="7"/>
  <c r="K74" i="5"/>
  <c r="J82" i="5"/>
  <c r="I92" i="7" l="1"/>
  <c r="I101" i="7" s="1"/>
  <c r="K82" i="5"/>
  <c r="F190" i="5" l="1"/>
  <c r="F189" i="5"/>
  <c r="D190" i="5"/>
  <c r="D189" i="5"/>
  <c r="L185" i="5"/>
  <c r="M185" i="5"/>
  <c r="N185" i="5"/>
  <c r="N210" i="5" s="1"/>
  <c r="O185" i="5"/>
  <c r="P185" i="5"/>
  <c r="D185" i="5"/>
  <c r="Q182" i="5"/>
  <c r="Q199" i="5"/>
  <c r="Q198" i="5"/>
  <c r="Q192" i="5"/>
  <c r="Q193" i="5"/>
  <c r="Q200" i="5"/>
  <c r="Q185" i="5"/>
  <c r="Q188" i="5"/>
  <c r="O58" i="5" l="1"/>
  <c r="O210" i="5"/>
  <c r="M58" i="5"/>
  <c r="M210" i="5"/>
  <c r="L58" i="5"/>
  <c r="L210" i="5"/>
  <c r="P58" i="5"/>
  <c r="P210" i="5"/>
  <c r="J193" i="5" a="1"/>
  <c r="J195" i="5" s="1"/>
  <c r="N58" i="5"/>
  <c r="L132" i="5"/>
  <c r="M132" i="5"/>
  <c r="N132" i="5"/>
  <c r="O132" i="5"/>
  <c r="P132" i="5"/>
  <c r="D132" i="5"/>
  <c r="Q91" i="5"/>
  <c r="Q134" i="5"/>
  <c r="Q132" i="5"/>
  <c r="J196" i="5" l="1"/>
  <c r="J194" i="5"/>
  <c r="J193" i="5"/>
  <c r="J197" i="5"/>
  <c r="M24" i="5" l="1"/>
  <c r="N24" i="5"/>
  <c r="O24" i="5"/>
  <c r="P24" i="5"/>
  <c r="L24" i="5"/>
  <c r="M267" i="5"/>
  <c r="N267" i="5"/>
  <c r="O267" i="5"/>
  <c r="P267" i="5"/>
  <c r="L267" i="5"/>
  <c r="M276" i="5"/>
  <c r="N276" i="5"/>
  <c r="O276" i="5"/>
  <c r="P276" i="5"/>
  <c r="L276" i="5"/>
  <c r="D39" i="3"/>
  <c r="D29" i="4"/>
  <c r="D28" i="4"/>
  <c r="D27" i="4"/>
  <c r="P26" i="4"/>
  <c r="N26" i="4"/>
  <c r="M26" i="4"/>
  <c r="L26" i="4"/>
  <c r="P19" i="4"/>
  <c r="O19" i="4"/>
  <c r="N19" i="4"/>
  <c r="M19" i="4"/>
  <c r="L19" i="4"/>
  <c r="K135" i="5"/>
  <c r="K137" i="5"/>
  <c r="K32" i="3"/>
  <c r="K34" i="3" s="1"/>
  <c r="K41" i="3" s="1"/>
  <c r="C8" i="2"/>
  <c r="Q135" i="5"/>
  <c r="L84" i="3"/>
  <c r="Q69" i="5"/>
  <c r="Q257" i="5"/>
  <c r="Q314" i="5"/>
  <c r="Q65" i="5"/>
  <c r="Q52" i="5"/>
  <c r="Q301" i="5"/>
  <c r="Q300" i="5"/>
  <c r="Q14" i="5"/>
  <c r="Q95" i="5"/>
  <c r="Q12" i="5"/>
  <c r="Q28" i="5"/>
  <c r="K38" i="3"/>
  <c r="Q285" i="5"/>
  <c r="Q157" i="5"/>
  <c r="Q126" i="5"/>
  <c r="Q67" i="5"/>
  <c r="Q53" i="5"/>
  <c r="Q50" i="5"/>
  <c r="Q259" i="5"/>
  <c r="Q308" i="5"/>
  <c r="Q225" i="5"/>
  <c r="H93" i="3"/>
  <c r="L85" i="3"/>
  <c r="Q73" i="5"/>
  <c r="Q302" i="5"/>
  <c r="Q267" i="5"/>
  <c r="Q18" i="5"/>
  <c r="Q316" i="5"/>
  <c r="Q148" i="5"/>
  <c r="H94" i="3"/>
  <c r="Q327" i="5"/>
  <c r="Q113" i="5"/>
  <c r="Q141" i="5"/>
  <c r="Q60" i="5"/>
  <c r="Q104" i="5"/>
  <c r="Q24" i="5"/>
  <c r="Q74" i="5"/>
  <c r="L49" i="3"/>
  <c r="Q19" i="5"/>
  <c r="Q284" i="5"/>
  <c r="Q107" i="5"/>
  <c r="Q240" i="5"/>
  <c r="Q42" i="5"/>
  <c r="Q34" i="5"/>
  <c r="Q258" i="5"/>
  <c r="Q119" i="5"/>
  <c r="Q256" i="5"/>
  <c r="Q154" i="5"/>
  <c r="Q304" i="5"/>
  <c r="L34" i="3"/>
  <c r="Q231" i="5"/>
  <c r="Q100" i="5"/>
  <c r="Q149" i="5"/>
  <c r="K53" i="3"/>
  <c r="Q274" i="5"/>
  <c r="Q59" i="5"/>
  <c r="Q342" i="5"/>
  <c r="Q39" i="5"/>
  <c r="Q114" i="5"/>
  <c r="Q248" i="5"/>
  <c r="Q325" i="5"/>
  <c r="Q68" i="5"/>
  <c r="Q54" i="5"/>
  <c r="Q89" i="5"/>
  <c r="Q32" i="5"/>
  <c r="Q175" i="5"/>
  <c r="Q83" i="5"/>
  <c r="Q117" i="5"/>
  <c r="Q323" i="5"/>
  <c r="Q333" i="5"/>
  <c r="Q162" i="5"/>
  <c r="K37" i="3"/>
  <c r="Q153" i="5"/>
  <c r="L87" i="3"/>
  <c r="Q41" i="5"/>
  <c r="Q22" i="5"/>
  <c r="K39" i="3"/>
  <c r="Q82" i="5"/>
  <c r="Q152" i="5"/>
  <c r="Q293" i="5"/>
  <c r="Q236" i="5"/>
  <c r="Q297" i="5"/>
  <c r="Q252" i="5"/>
  <c r="Q296" i="5"/>
  <c r="Q105" i="5"/>
  <c r="Q307" i="5"/>
  <c r="Q21" i="5"/>
  <c r="Q99" i="5"/>
  <c r="Q264" i="5"/>
  <c r="Q243" i="5"/>
  <c r="Q101" i="5"/>
  <c r="Q160" i="5"/>
  <c r="Q247" i="5"/>
  <c r="Q71" i="5"/>
  <c r="Q57" i="5"/>
  <c r="Q338" i="5"/>
  <c r="Q115" i="5"/>
  <c r="Q335" i="5"/>
  <c r="Q249" i="5"/>
  <c r="L45" i="3"/>
  <c r="L77" i="3"/>
  <c r="Q239" i="5"/>
  <c r="Q137" i="5"/>
  <c r="Q279" i="5"/>
  <c r="Q272" i="5"/>
  <c r="L80" i="3"/>
  <c r="Q29" i="5"/>
  <c r="Q109" i="5"/>
  <c r="Q49" i="5"/>
  <c r="Q339" i="5"/>
  <c r="Q85" i="5"/>
  <c r="Q223" i="5"/>
  <c r="Q311" i="5"/>
  <c r="Q112" i="5"/>
  <c r="Q86" i="5"/>
  <c r="Q318" i="5"/>
  <c r="Q250" i="5"/>
  <c r="Q63" i="5"/>
  <c r="Q102" i="5"/>
  <c r="H92" i="3"/>
  <c r="Q142" i="5"/>
  <c r="Q88" i="5"/>
  <c r="L88" i="3"/>
  <c r="Q167" i="5"/>
  <c r="Q329" i="5"/>
  <c r="Q222" i="5"/>
  <c r="Q332" i="5"/>
  <c r="Q25" i="5"/>
  <c r="Q326" i="5"/>
  <c r="Q66" i="5"/>
  <c r="Q70" i="5"/>
  <c r="H95" i="3"/>
  <c r="Q291" i="5"/>
  <c r="Q181" i="5"/>
  <c r="Q324" i="5"/>
  <c r="L86" i="3"/>
  <c r="Q229" i="5"/>
  <c r="Q169" i="5"/>
  <c r="Q221" i="5"/>
  <c r="Q90" i="5"/>
  <c r="H91" i="3"/>
  <c r="Q174" i="5"/>
  <c r="Q295" i="5"/>
  <c r="L48" i="3"/>
  <c r="Q228" i="5"/>
  <c r="Q84" i="5"/>
  <c r="Q292" i="5"/>
  <c r="Q92" i="5"/>
  <c r="Q127" i="5"/>
  <c r="L30" i="3"/>
  <c r="Q276" i="5"/>
  <c r="Q283" i="5"/>
  <c r="Q246" i="5"/>
  <c r="Q93" i="5"/>
  <c r="Q106" i="5"/>
  <c r="Q131" i="5"/>
  <c r="Q40" i="5"/>
  <c r="Q230" i="5"/>
  <c r="Q37" i="5"/>
  <c r="Q273" i="5"/>
  <c r="Q51" i="5"/>
  <c r="Q111" i="5"/>
  <c r="Q255" i="5"/>
  <c r="Q331" i="5"/>
  <c r="Q16" i="5"/>
  <c r="Q15" i="5"/>
  <c r="Q263" i="5"/>
  <c r="Q245" i="5"/>
  <c r="Q75" i="5"/>
  <c r="Q244" i="5"/>
  <c r="Q328" i="5"/>
  <c r="Q143" i="5"/>
  <c r="Q309" i="5"/>
  <c r="L81" i="3"/>
  <c r="Q64" i="5"/>
  <c r="Q282" i="5"/>
  <c r="L32" i="3"/>
  <c r="Q48" i="5"/>
  <c r="Q265" i="5"/>
  <c r="Q30" i="5"/>
  <c r="Q26" i="5"/>
  <c r="Q322" i="5"/>
  <c r="Q35" i="5"/>
  <c r="L47" i="3"/>
  <c r="Q58" i="5"/>
  <c r="P38" i="3" l="1"/>
  <c r="L39" i="3"/>
  <c r="L127" i="5" s="1"/>
  <c r="L137" i="5" s="1"/>
  <c r="M39" i="3"/>
  <c r="M127" i="5" s="1"/>
  <c r="N39" i="3"/>
  <c r="N127" i="5" s="1"/>
  <c r="P39" i="3"/>
  <c r="P127" i="5" s="1"/>
  <c r="M38" i="3"/>
  <c r="N38" i="3"/>
  <c r="L38" i="3"/>
  <c r="L41" i="3" s="1"/>
  <c r="O38" i="3"/>
  <c r="K131" i="5"/>
  <c r="K152" i="5" s="1"/>
  <c r="M41" i="3" l="1"/>
  <c r="N41" i="3" s="1"/>
  <c r="O41" i="3" s="1"/>
  <c r="P41" i="3" s="1"/>
  <c r="M137" i="5"/>
  <c r="N137" i="5" s="1"/>
  <c r="K141" i="5"/>
  <c r="M52" i="5" l="1"/>
  <c r="N52" i="5"/>
  <c r="O52" i="5"/>
  <c r="P52" i="5"/>
  <c r="M53" i="5"/>
  <c r="N53" i="5"/>
  <c r="O53" i="5"/>
  <c r="P53" i="5"/>
  <c r="L52" i="5"/>
  <c r="M329" i="5" l="1"/>
  <c r="N329" i="5"/>
  <c r="O329" i="5"/>
  <c r="P329" i="5"/>
  <c r="L329" i="5"/>
  <c r="M70" i="5"/>
  <c r="M326" i="5" s="1"/>
  <c r="N70" i="5"/>
  <c r="N326" i="5" s="1"/>
  <c r="O70" i="5"/>
  <c r="O326" i="5" s="1"/>
  <c r="P70" i="5"/>
  <c r="P326" i="5" s="1"/>
  <c r="L70" i="5"/>
  <c r="L326" i="5" s="1"/>
  <c r="M59" i="5"/>
  <c r="N59" i="5"/>
  <c r="O59" i="5"/>
  <c r="P59" i="5"/>
  <c r="L59" i="5"/>
  <c r="L53" i="5"/>
  <c r="D339" i="5" l="1"/>
  <c r="D326" i="5"/>
  <c r="L89" i="5"/>
  <c r="M89" i="5" s="1"/>
  <c r="N89" i="5" s="1"/>
  <c r="O89" i="5" s="1"/>
  <c r="P89" i="5" s="1"/>
  <c r="L114" i="5"/>
  <c r="M114" i="5" s="1"/>
  <c r="N114" i="5" s="1"/>
  <c r="O114" i="5" s="1"/>
  <c r="P114" i="5" s="1"/>
  <c r="L106" i="5"/>
  <c r="M106" i="5" s="1"/>
  <c r="N106" i="5" s="1"/>
  <c r="O106" i="5" s="1"/>
  <c r="P106" i="5" s="1"/>
  <c r="K309" i="5"/>
  <c r="M295" i="5"/>
  <c r="N295" i="5"/>
  <c r="O295" i="5"/>
  <c r="P295" i="5"/>
  <c r="M296" i="5"/>
  <c r="N296" i="5"/>
  <c r="O296" i="5"/>
  <c r="P296" i="5"/>
  <c r="L296" i="5"/>
  <c r="D296" i="5"/>
  <c r="L295" i="5"/>
  <c r="M273" i="5"/>
  <c r="N273" i="5"/>
  <c r="O273" i="5"/>
  <c r="P273" i="5"/>
  <c r="L273" i="5"/>
  <c r="L272" i="5"/>
  <c r="M264" i="5"/>
  <c r="M67" i="5" s="1"/>
  <c r="N264" i="5"/>
  <c r="N67" i="5" s="1"/>
  <c r="O264" i="5"/>
  <c r="O67" i="5" s="1"/>
  <c r="P264" i="5"/>
  <c r="P67" i="5" s="1"/>
  <c r="L264" i="5"/>
  <c r="L67" i="5" s="1"/>
  <c r="K142" i="5"/>
  <c r="K47" i="3"/>
  <c r="M66" i="5" l="1"/>
  <c r="M325" i="5" s="1"/>
  <c r="N66" i="5"/>
  <c r="N325" i="5" s="1"/>
  <c r="P66" i="5"/>
  <c r="P325" i="5" s="1"/>
  <c r="L66" i="5"/>
  <c r="L325" i="5" s="1"/>
  <c r="O66" i="5"/>
  <c r="O325" i="5" s="1"/>
  <c r="K186" i="5"/>
  <c r="N188" i="5" s="1"/>
  <c r="K212" i="5"/>
  <c r="L209" i="5" s="1"/>
  <c r="K49" i="3"/>
  <c r="K157" i="5" s="1"/>
  <c r="K48" i="3"/>
  <c r="K153" i="5" s="1"/>
  <c r="L307" i="5"/>
  <c r="L308" i="5" s="1"/>
  <c r="L64" i="5" s="1"/>
  <c r="N297" i="5"/>
  <c r="M297" i="5"/>
  <c r="P297" i="5"/>
  <c r="L297" i="5"/>
  <c r="O297" i="5"/>
  <c r="L274" i="5"/>
  <c r="K143" i="5"/>
  <c r="L278" i="5" l="1"/>
  <c r="L279" i="5" s="1"/>
  <c r="L68" i="5" s="1"/>
  <c r="P188" i="5"/>
  <c r="O188" i="5"/>
  <c r="M188" i="5"/>
  <c r="L188" i="5"/>
  <c r="L309" i="5"/>
  <c r="M272" i="5"/>
  <c r="L111" i="5"/>
  <c r="M274" i="5" l="1"/>
  <c r="L34" i="5"/>
  <c r="L311" i="5"/>
  <c r="L339" i="5" s="1"/>
  <c r="L104" i="5"/>
  <c r="M307" i="5"/>
  <c r="M308" i="5" s="1"/>
  <c r="M111" i="5" l="1"/>
  <c r="M278" i="5"/>
  <c r="M279" i="5" s="1"/>
  <c r="M68" i="5" s="1"/>
  <c r="N272" i="5"/>
  <c r="N274" i="5" s="1"/>
  <c r="M309" i="5"/>
  <c r="M34" i="5" l="1"/>
  <c r="N111" i="5"/>
  <c r="N278" i="5"/>
  <c r="N279" i="5" s="1"/>
  <c r="N68" i="5" s="1"/>
  <c r="O272" i="5"/>
  <c r="M64" i="5"/>
  <c r="M104" i="5"/>
  <c r="M311" i="5"/>
  <c r="M339" i="5" s="1"/>
  <c r="N307" i="5"/>
  <c r="N308" i="5" s="1"/>
  <c r="N34" i="5" l="1"/>
  <c r="O274" i="5"/>
  <c r="N64" i="5"/>
  <c r="O278" i="5" l="1"/>
  <c r="O279" i="5" s="1"/>
  <c r="O68" i="5" s="1"/>
  <c r="O111" i="5"/>
  <c r="P272" i="5"/>
  <c r="N309" i="5"/>
  <c r="O307" i="5" s="1"/>
  <c r="O308" i="5" s="1"/>
  <c r="O34" i="5" l="1"/>
  <c r="P274" i="5"/>
  <c r="N104" i="5"/>
  <c r="N311" i="5"/>
  <c r="N339" i="5" s="1"/>
  <c r="O64" i="5"/>
  <c r="P111" i="5" l="1"/>
  <c r="P278" i="5"/>
  <c r="P279" i="5" s="1"/>
  <c r="P68" i="5" s="1"/>
  <c r="O309" i="5"/>
  <c r="O104" i="5" s="1"/>
  <c r="P34" i="5" l="1"/>
  <c r="O311" i="5"/>
  <c r="O339" i="5" s="1"/>
  <c r="P307" i="5"/>
  <c r="P308" i="5" l="1"/>
  <c r="P309" i="5" s="1"/>
  <c r="P311" i="5" s="1"/>
  <c r="P339" i="5" s="1"/>
  <c r="P64" i="5" l="1"/>
  <c r="P104" i="5"/>
  <c r="D82" i="6" l="1"/>
  <c r="D83" i="6"/>
  <c r="D84" i="6"/>
  <c r="D81" i="6"/>
  <c r="D79" i="6"/>
  <c r="D75" i="6"/>
  <c r="B67" i="6"/>
  <c r="D341" i="5"/>
  <c r="D340" i="5"/>
  <c r="D338" i="5"/>
  <c r="D292" i="5"/>
  <c r="D293" i="5"/>
  <c r="D291" i="5"/>
  <c r="D267" i="5"/>
  <c r="L256" i="5"/>
  <c r="M256" i="5"/>
  <c r="N256" i="5"/>
  <c r="O256" i="5"/>
  <c r="P256" i="5"/>
  <c r="L257" i="5"/>
  <c r="M257" i="5"/>
  <c r="N257" i="5"/>
  <c r="O257" i="5"/>
  <c r="P257" i="5"/>
  <c r="L258" i="5"/>
  <c r="M258" i="5"/>
  <c r="N258" i="5"/>
  <c r="O258" i="5"/>
  <c r="P258" i="5"/>
  <c r="L259" i="5"/>
  <c r="M259" i="5"/>
  <c r="N259" i="5"/>
  <c r="O259" i="5"/>
  <c r="P259" i="5"/>
  <c r="L255" i="5"/>
  <c r="M255" i="5"/>
  <c r="N255" i="5"/>
  <c r="O255" i="5"/>
  <c r="P255" i="5"/>
  <c r="P222" i="5"/>
  <c r="O222" i="5"/>
  <c r="N222" i="5"/>
  <c r="M222" i="5"/>
  <c r="L222" i="5"/>
  <c r="D222" i="5"/>
  <c r="F218" i="5"/>
  <c r="E218" i="5"/>
  <c r="D218" i="5"/>
  <c r="M18" i="5"/>
  <c r="N18" i="5"/>
  <c r="O18" i="5"/>
  <c r="P18" i="5"/>
  <c r="L18" i="5"/>
  <c r="L162" i="5"/>
  <c r="L15" i="5" s="1"/>
  <c r="F172" i="5"/>
  <c r="F171" i="5"/>
  <c r="D172" i="5"/>
  <c r="D171" i="5"/>
  <c r="P167" i="5"/>
  <c r="O167" i="5"/>
  <c r="N167" i="5"/>
  <c r="M167" i="5"/>
  <c r="L167" i="5"/>
  <c r="D167" i="5"/>
  <c r="I248" i="5"/>
  <c r="I247" i="5"/>
  <c r="I245" i="5"/>
  <c r="I244" i="5"/>
  <c r="I243" i="5"/>
  <c r="I240" i="5"/>
  <c r="K240" i="5"/>
  <c r="K243" i="5"/>
  <c r="K244" i="5"/>
  <c r="K245" i="5"/>
  <c r="L92" i="5"/>
  <c r="M92" i="5" s="1"/>
  <c r="N92" i="5" s="1"/>
  <c r="O92" i="5" s="1"/>
  <c r="P92" i="5" s="1"/>
  <c r="K333" i="5"/>
  <c r="L331" i="5" s="1"/>
  <c r="K247" i="5"/>
  <c r="K248" i="5"/>
  <c r="K285" i="5"/>
  <c r="L282" i="5" s="1"/>
  <c r="J248" i="5"/>
  <c r="J247" i="5"/>
  <c r="J245" i="5"/>
  <c r="J244" i="5"/>
  <c r="J243" i="5"/>
  <c r="J240" i="5"/>
  <c r="D73" i="6"/>
  <c r="D228" i="5"/>
  <c r="D229" i="5"/>
  <c r="D322" i="5"/>
  <c r="D323" i="5"/>
  <c r="D70" i="6"/>
  <c r="L109" i="3"/>
  <c r="L292" i="5" s="1"/>
  <c r="M109" i="3"/>
  <c r="M292" i="5" s="1"/>
  <c r="N109" i="3"/>
  <c r="N292" i="5" s="1"/>
  <c r="O109" i="3"/>
  <c r="O292" i="5" s="1"/>
  <c r="P109" i="3"/>
  <c r="P292" i="5" s="1"/>
  <c r="L110" i="3"/>
  <c r="L293" i="5" s="1"/>
  <c r="M110" i="3"/>
  <c r="M293" i="5" s="1"/>
  <c r="N110" i="3"/>
  <c r="N293" i="5" s="1"/>
  <c r="O110" i="3"/>
  <c r="O293" i="5" s="1"/>
  <c r="P110" i="3"/>
  <c r="P293" i="5" s="1"/>
  <c r="M108" i="3"/>
  <c r="M291" i="5" s="1"/>
  <c r="N108" i="3"/>
  <c r="N291" i="5" s="1"/>
  <c r="O108" i="3"/>
  <c r="O291" i="5" s="1"/>
  <c r="P108" i="3"/>
  <c r="P291" i="5" s="1"/>
  <c r="L108" i="3"/>
  <c r="L291" i="5" s="1"/>
  <c r="D93" i="3"/>
  <c r="D95" i="3"/>
  <c r="L57" i="5" l="1"/>
  <c r="L60" i="5" s="1"/>
  <c r="L323" i="5" s="1"/>
  <c r="L204" i="5"/>
  <c r="M57" i="5"/>
  <c r="M60" i="5" s="1"/>
  <c r="M323" i="5" s="1"/>
  <c r="M204" i="5"/>
  <c r="N57" i="5"/>
  <c r="N204" i="5"/>
  <c r="O57" i="5"/>
  <c r="O60" i="5" s="1"/>
  <c r="O323" i="5" s="1"/>
  <c r="O204" i="5"/>
  <c r="P57" i="5"/>
  <c r="P60" i="5" s="1"/>
  <c r="P323" i="5" s="1"/>
  <c r="P204" i="5"/>
  <c r="K168" i="5"/>
  <c r="N169" i="5" s="1"/>
  <c r="K206" i="5"/>
  <c r="L203" i="5" s="1"/>
  <c r="I115" i="5"/>
  <c r="J107" i="5"/>
  <c r="J71" i="5"/>
  <c r="K71" i="5"/>
  <c r="I71" i="5"/>
  <c r="J115" i="5"/>
  <c r="K265" i="5"/>
  <c r="L263" i="5" s="1"/>
  <c r="L265" i="5" s="1"/>
  <c r="M263" i="5" s="1"/>
  <c r="M265" i="5" s="1"/>
  <c r="K115" i="5"/>
  <c r="I107" i="5"/>
  <c r="K302" i="5"/>
  <c r="L300" i="5" s="1"/>
  <c r="L301" i="5" s="1"/>
  <c r="L65" i="5" s="1"/>
  <c r="L324" i="5" s="1"/>
  <c r="K107" i="5"/>
  <c r="I239" i="5"/>
  <c r="K239" i="5"/>
  <c r="J239" i="5"/>
  <c r="J70" i="6"/>
  <c r="I70" i="6"/>
  <c r="N60" i="5"/>
  <c r="N323" i="5" s="1"/>
  <c r="K70" i="6"/>
  <c r="I249" i="5"/>
  <c r="L229" i="5"/>
  <c r="L29" i="5" s="1"/>
  <c r="L50" i="5" s="1"/>
  <c r="J246" i="5"/>
  <c r="I246" i="5"/>
  <c r="O229" i="5"/>
  <c r="O29" i="5" s="1"/>
  <c r="O50" i="5" s="1"/>
  <c r="P229" i="5"/>
  <c r="P29" i="5" s="1"/>
  <c r="P50" i="5" s="1"/>
  <c r="M229" i="5"/>
  <c r="M29" i="5" s="1"/>
  <c r="M50" i="5" s="1"/>
  <c r="J249" i="5"/>
  <c r="N229" i="5"/>
  <c r="N29" i="5" s="1"/>
  <c r="N50" i="5" s="1"/>
  <c r="K246" i="5"/>
  <c r="K249" i="5"/>
  <c r="J175" i="5" a="1"/>
  <c r="J175" i="5" s="1"/>
  <c r="J93" i="5"/>
  <c r="K93" i="5"/>
  <c r="I102" i="5"/>
  <c r="K30" i="5"/>
  <c r="J102" i="5"/>
  <c r="K102" i="5"/>
  <c r="I93" i="5"/>
  <c r="J60" i="5"/>
  <c r="I60" i="5"/>
  <c r="J30" i="5"/>
  <c r="K60" i="5"/>
  <c r="K16" i="5"/>
  <c r="K19" i="5" s="1"/>
  <c r="J16" i="5"/>
  <c r="I16" i="5"/>
  <c r="I30" i="5"/>
  <c r="M169" i="5" l="1"/>
  <c r="P169" i="5"/>
  <c r="O169" i="5"/>
  <c r="L169" i="5"/>
  <c r="L91" i="5"/>
  <c r="M91" i="5" s="1"/>
  <c r="N91" i="5" s="1"/>
  <c r="O91" i="5" s="1"/>
  <c r="P91" i="5" s="1"/>
  <c r="I19" i="5"/>
  <c r="I37" i="5" s="1"/>
  <c r="K37" i="5"/>
  <c r="J19" i="5"/>
  <c r="J37" i="5" s="1"/>
  <c r="L302" i="5"/>
  <c r="L304" i="5" s="1"/>
  <c r="L338" i="5" s="1"/>
  <c r="J71" i="6"/>
  <c r="K71" i="6"/>
  <c r="L112" i="5"/>
  <c r="N263" i="5"/>
  <c r="N265" i="5" s="1"/>
  <c r="M112" i="5"/>
  <c r="J250" i="5"/>
  <c r="I250" i="5"/>
  <c r="K250" i="5"/>
  <c r="J177" i="5"/>
  <c r="J178" i="5"/>
  <c r="J179" i="5"/>
  <c r="J176" i="5"/>
  <c r="I109" i="5"/>
  <c r="I117" i="5" s="1"/>
  <c r="K109" i="5"/>
  <c r="K117" i="5" s="1"/>
  <c r="J109" i="5"/>
  <c r="J117" i="5" s="1"/>
  <c r="L105" i="5" l="1"/>
  <c r="M300" i="5"/>
  <c r="M301" i="5" s="1"/>
  <c r="M65" i="5" s="1"/>
  <c r="M324" i="5" s="1"/>
  <c r="K22" i="5"/>
  <c r="K73" i="6"/>
  <c r="K75" i="6"/>
  <c r="J22" i="5"/>
  <c r="J75" i="6"/>
  <c r="J73" i="6"/>
  <c r="I22" i="5"/>
  <c r="I75" i="6"/>
  <c r="I73" i="6"/>
  <c r="J252" i="5"/>
  <c r="O263" i="5"/>
  <c r="O265" i="5" s="1"/>
  <c r="N112" i="5"/>
  <c r="K252" i="5"/>
  <c r="J26" i="5" l="1"/>
  <c r="J32" i="5" s="1"/>
  <c r="J35" i="5" s="1"/>
  <c r="K26" i="5"/>
  <c r="K32" i="5" s="1"/>
  <c r="K35" i="5" s="1"/>
  <c r="I26" i="5"/>
  <c r="I32" i="5" s="1"/>
  <c r="I35" i="5" s="1"/>
  <c r="M302" i="5"/>
  <c r="N300" i="5" s="1"/>
  <c r="N301" i="5" s="1"/>
  <c r="N65" i="5" s="1"/>
  <c r="N324" i="5" s="1"/>
  <c r="J74" i="6"/>
  <c r="K74" i="6"/>
  <c r="P263" i="5"/>
  <c r="P265" i="5" s="1"/>
  <c r="P112" i="5" s="1"/>
  <c r="O112" i="5"/>
  <c r="K40" i="5" l="1"/>
  <c r="K79" i="6" s="1"/>
  <c r="K39" i="5"/>
  <c r="K81" i="6" s="1"/>
  <c r="K77" i="6"/>
  <c r="J40" i="5"/>
  <c r="J79" i="6" s="1"/>
  <c r="J39" i="5"/>
  <c r="J81" i="6" s="1"/>
  <c r="J77" i="6"/>
  <c r="I40" i="5"/>
  <c r="I82" i="6" s="1"/>
  <c r="I77" i="6"/>
  <c r="I39" i="5"/>
  <c r="I81" i="6" s="1"/>
  <c r="M304" i="5"/>
  <c r="M338" i="5" s="1"/>
  <c r="M105" i="5"/>
  <c r="N302" i="5"/>
  <c r="J82" i="6" l="1"/>
  <c r="K82" i="6"/>
  <c r="I79" i="6"/>
  <c r="J78" i="6"/>
  <c r="K78" i="6"/>
  <c r="N304" i="5"/>
  <c r="N338" i="5" s="1"/>
  <c r="N105" i="5"/>
  <c r="O300" i="5"/>
  <c r="O301" i="5" s="1"/>
  <c r="O65" i="5" s="1"/>
  <c r="O324" i="5" s="1"/>
  <c r="D94" i="3"/>
  <c r="D92" i="3"/>
  <c r="D91" i="3"/>
  <c r="P40" i="4"/>
  <c r="O40" i="4"/>
  <c r="N40" i="4"/>
  <c r="M40" i="4"/>
  <c r="L40" i="4"/>
  <c r="P33" i="4"/>
  <c r="O33" i="4"/>
  <c r="N33" i="4"/>
  <c r="M33" i="4"/>
  <c r="L33" i="4"/>
  <c r="M131" i="5"/>
  <c r="M134" i="5" s="1"/>
  <c r="N131" i="5"/>
  <c r="N134" i="5" s="1"/>
  <c r="O131" i="5"/>
  <c r="O134" i="5" s="1"/>
  <c r="P131" i="5"/>
  <c r="P134" i="5" s="1"/>
  <c r="L131" i="5"/>
  <c r="L134" i="5" s="1"/>
  <c r="D22" i="4"/>
  <c r="D21" i="4"/>
  <c r="D20" i="4"/>
  <c r="D11" i="4"/>
  <c r="B2" i="6"/>
  <c r="B2" i="5"/>
  <c r="B2" i="4"/>
  <c r="I11" i="3"/>
  <c r="B2" i="3"/>
  <c r="L37" i="3" l="1"/>
  <c r="L126" i="5" s="1"/>
  <c r="K3" i="5"/>
  <c r="M37" i="3"/>
  <c r="M126" i="5" s="1"/>
  <c r="N37" i="3"/>
  <c r="N126" i="5" s="1"/>
  <c r="O37" i="3"/>
  <c r="O126" i="5" s="1"/>
  <c r="P37" i="3"/>
  <c r="P126" i="5" s="1"/>
  <c r="P152" i="5"/>
  <c r="P148" i="5"/>
  <c r="O148" i="5"/>
  <c r="O152" i="5"/>
  <c r="N152" i="5"/>
  <c r="N148" i="5"/>
  <c r="M152" i="5"/>
  <c r="M148" i="5"/>
  <c r="L152" i="5"/>
  <c r="L148" i="5"/>
  <c r="L135" i="5"/>
  <c r="L141" i="5" s="1"/>
  <c r="O302" i="5"/>
  <c r="L135" i="3"/>
  <c r="L53" i="3"/>
  <c r="L149" i="5" s="1"/>
  <c r="N135" i="3"/>
  <c r="N53" i="3"/>
  <c r="N149" i="5" s="1"/>
  <c r="M135" i="3"/>
  <c r="M53" i="3"/>
  <c r="M149" i="5" s="1"/>
  <c r="O135" i="3"/>
  <c r="O53" i="3"/>
  <c r="O149" i="5" s="1"/>
  <c r="P135" i="3"/>
  <c r="P53" i="3"/>
  <c r="P149" i="5" s="1"/>
  <c r="I77" i="3"/>
  <c r="I95" i="3" s="1"/>
  <c r="I259" i="5" s="1"/>
  <c r="I236" i="5"/>
  <c r="K3" i="4"/>
  <c r="K3" i="3"/>
  <c r="K3" i="6"/>
  <c r="M135" i="5" l="1"/>
  <c r="M141" i="5" s="1"/>
  <c r="L142" i="5"/>
  <c r="O105" i="5"/>
  <c r="O304" i="5"/>
  <c r="O338" i="5" s="1"/>
  <c r="P300" i="5"/>
  <c r="P301" i="5" s="1"/>
  <c r="P65" i="5" s="1"/>
  <c r="P324" i="5" s="1"/>
  <c r="L153" i="5"/>
  <c r="L154" i="5" s="1"/>
  <c r="L157" i="5"/>
  <c r="M157" i="5" s="1"/>
  <c r="N157" i="5" s="1"/>
  <c r="O157" i="5" s="1"/>
  <c r="P157" i="5" s="1"/>
  <c r="I92" i="3"/>
  <c r="I256" i="5" s="1"/>
  <c r="I93" i="3"/>
  <c r="I257" i="5" s="1"/>
  <c r="I94" i="3"/>
  <c r="I258" i="5" s="1"/>
  <c r="M162" i="5"/>
  <c r="N135" i="5" l="1"/>
  <c r="N141" i="5" s="1"/>
  <c r="L143" i="5"/>
  <c r="L12" i="5" s="1"/>
  <c r="L239" i="5" s="1"/>
  <c r="M142" i="5"/>
  <c r="P302" i="5"/>
  <c r="M153" i="5"/>
  <c r="L160" i="5"/>
  <c r="J11" i="3"/>
  <c r="M15" i="5"/>
  <c r="N162" i="5"/>
  <c r="I91" i="3"/>
  <c r="I255" i="5" s="1"/>
  <c r="N153" i="5" l="1"/>
  <c r="N154" i="5" s="1"/>
  <c r="N160" i="5" s="1"/>
  <c r="M154" i="5"/>
  <c r="M160" i="5" s="1"/>
  <c r="M143" i="5"/>
  <c r="M12" i="5" s="1"/>
  <c r="M239" i="5" s="1"/>
  <c r="O135" i="5"/>
  <c r="O141" i="5" s="1"/>
  <c r="L70" i="6"/>
  <c r="L71" i="6" s="1"/>
  <c r="N142" i="5"/>
  <c r="P105" i="5"/>
  <c r="P304" i="5"/>
  <c r="P338" i="5" s="1"/>
  <c r="J77" i="3"/>
  <c r="J91" i="3" s="1"/>
  <c r="J255" i="5" s="1"/>
  <c r="J236" i="5"/>
  <c r="L14" i="5"/>
  <c r="L240" i="5" s="1"/>
  <c r="O162" i="5"/>
  <c r="N15" i="5"/>
  <c r="O153" i="5" l="1"/>
  <c r="O154" i="5" s="1"/>
  <c r="O160" i="5" s="1"/>
  <c r="N143" i="5"/>
  <c r="N12" i="5" s="1"/>
  <c r="N239" i="5" s="1"/>
  <c r="P135" i="5"/>
  <c r="P141" i="5" s="1"/>
  <c r="M14" i="5"/>
  <c r="M240" i="5" s="1"/>
  <c r="J93" i="3"/>
  <c r="J257" i="5" s="1"/>
  <c r="J95" i="3"/>
  <c r="J259" i="5" s="1"/>
  <c r="J94" i="3"/>
  <c r="J258" i="5" s="1"/>
  <c r="J92" i="3"/>
  <c r="J256" i="5" s="1"/>
  <c r="L16" i="5"/>
  <c r="M70" i="6"/>
  <c r="M71" i="6" s="1"/>
  <c r="P162" i="5"/>
  <c r="P15" i="5" s="1"/>
  <c r="O15" i="5"/>
  <c r="P153" i="5" l="1"/>
  <c r="P154" i="5" s="1"/>
  <c r="P160" i="5" s="1"/>
  <c r="L19" i="5"/>
  <c r="L37" i="5" s="1"/>
  <c r="L75" i="6" s="1"/>
  <c r="M16" i="5"/>
  <c r="M19" i="5" s="1"/>
  <c r="M37" i="5" s="1"/>
  <c r="N70" i="6"/>
  <c r="N71" i="6" s="1"/>
  <c r="N14" i="5"/>
  <c r="N240" i="5" s="1"/>
  <c r="P14" i="5" l="1"/>
  <c r="M73" i="6"/>
  <c r="O14" i="5"/>
  <c r="O240" i="5" s="1"/>
  <c r="L73" i="6"/>
  <c r="L74" i="6" s="1"/>
  <c r="M75" i="6"/>
  <c r="N16" i="5"/>
  <c r="N19" i="5" s="1"/>
  <c r="N37" i="5" s="1"/>
  <c r="I54" i="5" l="1"/>
  <c r="I73" i="5" s="1"/>
  <c r="O16" i="5"/>
  <c r="M74" i="6"/>
  <c r="N73" i="6"/>
  <c r="N74" i="6" s="1"/>
  <c r="N75" i="6"/>
  <c r="P16" i="5"/>
  <c r="P240" i="5"/>
  <c r="I86" i="5" l="1"/>
  <c r="I95" i="5" s="1"/>
  <c r="L6" i="6"/>
  <c r="M6" i="6" s="1"/>
  <c r="N6" i="6" s="1"/>
  <c r="O6" i="6" s="1"/>
  <c r="P6" i="6" s="1"/>
  <c r="I2" i="6" s="1"/>
  <c r="L6" i="4"/>
  <c r="M6" i="4" s="1"/>
  <c r="N6" i="4" s="1"/>
  <c r="O6" i="4" s="1"/>
  <c r="P6" i="4" s="1"/>
  <c r="I2" i="4" s="1"/>
  <c r="L6" i="5"/>
  <c r="Q6" i="5" l="1"/>
  <c r="L192" i="5"/>
  <c r="L174" i="5"/>
  <c r="I42" i="5"/>
  <c r="I84" i="6" s="1"/>
  <c r="I119" i="5"/>
  <c r="I41" i="5"/>
  <c r="I83" i="6" s="1"/>
  <c r="M6" i="5"/>
  <c r="L6" i="3"/>
  <c r="K11" i="3"/>
  <c r="M192" i="5" l="1"/>
  <c r="M174" i="5"/>
  <c r="J54" i="5"/>
  <c r="J73" i="5" s="1"/>
  <c r="K77" i="3"/>
  <c r="K236" i="5"/>
  <c r="M6" i="3"/>
  <c r="L11" i="3"/>
  <c r="L236" i="5" s="1"/>
  <c r="N6" i="5"/>
  <c r="N192" i="5" l="1"/>
  <c r="N174" i="5"/>
  <c r="K54" i="5"/>
  <c r="K73" i="5" s="1"/>
  <c r="O6" i="5"/>
  <c r="N6" i="3"/>
  <c r="M11" i="3"/>
  <c r="M236" i="5" s="1"/>
  <c r="L243" i="5"/>
  <c r="L245" i="5"/>
  <c r="L85" i="5" s="1"/>
  <c r="L248" i="5"/>
  <c r="L101" i="5" s="1"/>
  <c r="L247" i="5"/>
  <c r="L244" i="5"/>
  <c r="L84" i="5" s="1"/>
  <c r="K95" i="3"/>
  <c r="K259" i="5" s="1"/>
  <c r="K92" i="3"/>
  <c r="K256" i="5" s="1"/>
  <c r="K93" i="3"/>
  <c r="K257" i="5" s="1"/>
  <c r="K94" i="3"/>
  <c r="K258" i="5" s="1"/>
  <c r="K91" i="3"/>
  <c r="K255" i="5" s="1"/>
  <c r="J86" i="5"/>
  <c r="J95" i="5" s="1"/>
  <c r="O174" i="5" l="1"/>
  <c r="O192" i="5"/>
  <c r="J119" i="5"/>
  <c r="J42" i="5"/>
  <c r="J84" i="6" s="1"/>
  <c r="J41" i="5"/>
  <c r="J83" i="6" s="1"/>
  <c r="L83" i="5"/>
  <c r="L246" i="5"/>
  <c r="M244" i="5"/>
  <c r="M84" i="5" s="1"/>
  <c r="M248" i="5"/>
  <c r="M101" i="5" s="1"/>
  <c r="M245" i="5"/>
  <c r="M85" i="5" s="1"/>
  <c r="M247" i="5"/>
  <c r="M243" i="5"/>
  <c r="L100" i="5"/>
  <c r="L249" i="5"/>
  <c r="O6" i="3"/>
  <c r="N11" i="3"/>
  <c r="N236" i="5" s="1"/>
  <c r="P6" i="5"/>
  <c r="P192" i="5" l="1"/>
  <c r="P174" i="5"/>
  <c r="M249" i="5"/>
  <c r="M100" i="5"/>
  <c r="M246" i="5"/>
  <c r="M83" i="5"/>
  <c r="I2" i="5"/>
  <c r="N243" i="5"/>
  <c r="N248" i="5"/>
  <c r="N101" i="5" s="1"/>
  <c r="N245" i="5"/>
  <c r="N85" i="5" s="1"/>
  <c r="N244" i="5"/>
  <c r="N84" i="5" s="1"/>
  <c r="N247" i="5"/>
  <c r="L250" i="5"/>
  <c r="P6" i="3"/>
  <c r="O11" i="3"/>
  <c r="O236" i="5" s="1"/>
  <c r="I193" i="5" l="1" a="1"/>
  <c r="I196" i="5" s="1"/>
  <c r="L74" i="5"/>
  <c r="M250" i="5"/>
  <c r="M252" i="5" s="1"/>
  <c r="M51" i="5" s="1"/>
  <c r="N100" i="5"/>
  <c r="N249" i="5"/>
  <c r="O247" i="5"/>
  <c r="O248" i="5"/>
  <c r="O101" i="5" s="1"/>
  <c r="O244" i="5"/>
  <c r="O84" i="5" s="1"/>
  <c r="O245" i="5"/>
  <c r="O85" i="5" s="1"/>
  <c r="I175" i="5" a="1"/>
  <c r="N83" i="5"/>
  <c r="N246" i="5"/>
  <c r="P11" i="3"/>
  <c r="P236" i="5" s="1"/>
  <c r="I2" i="3"/>
  <c r="L252" i="5"/>
  <c r="L51" i="5" s="1"/>
  <c r="O196" i="5" l="1"/>
  <c r="P196" i="5"/>
  <c r="I194" i="5"/>
  <c r="I197" i="5"/>
  <c r="P197" i="5" s="1"/>
  <c r="I193" i="5"/>
  <c r="I195" i="5"/>
  <c r="L107" i="5"/>
  <c r="N250" i="5"/>
  <c r="N252" i="5" s="1"/>
  <c r="N51" i="5" s="1"/>
  <c r="I178" i="5"/>
  <c r="I177" i="5"/>
  <c r="I175" i="5"/>
  <c r="I176" i="5"/>
  <c r="I179" i="5"/>
  <c r="P179" i="5" s="1"/>
  <c r="O249" i="5"/>
  <c r="O100" i="5"/>
  <c r="P244" i="5"/>
  <c r="P84" i="5" s="1"/>
  <c r="P247" i="5"/>
  <c r="P248" i="5"/>
  <c r="P101" i="5" s="1"/>
  <c r="P245" i="5"/>
  <c r="P85" i="5" s="1"/>
  <c r="N195" i="5" l="1"/>
  <c r="O195" i="5"/>
  <c r="P195" i="5"/>
  <c r="L193" i="5"/>
  <c r="L198" i="5" s="1"/>
  <c r="L199" i="5" s="1"/>
  <c r="L211" i="5" s="1"/>
  <c r="L212" i="5" s="1"/>
  <c r="M193" i="5"/>
  <c r="N193" i="5"/>
  <c r="O193" i="5"/>
  <c r="P193" i="5"/>
  <c r="M194" i="5"/>
  <c r="N194" i="5"/>
  <c r="O194" i="5"/>
  <c r="P194" i="5"/>
  <c r="M107" i="5"/>
  <c r="K316" i="5"/>
  <c r="L314" i="5" s="1"/>
  <c r="K86" i="5"/>
  <c r="K95" i="5" s="1"/>
  <c r="P100" i="5"/>
  <c r="P249" i="5"/>
  <c r="M176" i="5"/>
  <c r="N176" i="5"/>
  <c r="O176" i="5"/>
  <c r="P176" i="5"/>
  <c r="L175" i="5"/>
  <c r="M175" i="5"/>
  <c r="N175" i="5"/>
  <c r="O175" i="5"/>
  <c r="P175" i="5"/>
  <c r="N177" i="5"/>
  <c r="O177" i="5"/>
  <c r="P177" i="5"/>
  <c r="O178" i="5"/>
  <c r="P178" i="5"/>
  <c r="M198" i="5" l="1"/>
  <c r="M199" i="5" s="1"/>
  <c r="M211" i="5" s="1"/>
  <c r="L90" i="5"/>
  <c r="M209" i="5"/>
  <c r="N198" i="5"/>
  <c r="N199" i="5" s="1"/>
  <c r="N211" i="5" s="1"/>
  <c r="O198" i="5"/>
  <c r="O199" i="5" s="1"/>
  <c r="O211" i="5" s="1"/>
  <c r="P198" i="5"/>
  <c r="P199" i="5" s="1"/>
  <c r="P211" i="5" s="1"/>
  <c r="L181" i="5"/>
  <c r="N107" i="5"/>
  <c r="K42" i="5"/>
  <c r="K84" i="6" s="1"/>
  <c r="K41" i="5"/>
  <c r="K83" i="6" s="1"/>
  <c r="K119" i="5"/>
  <c r="M181" i="5"/>
  <c r="P181" i="5"/>
  <c r="O181" i="5"/>
  <c r="N181" i="5"/>
  <c r="M212" i="5" l="1"/>
  <c r="N209" i="5" s="1"/>
  <c r="N212" i="5" s="1"/>
  <c r="L182" i="5"/>
  <c r="L205" i="5" s="1"/>
  <c r="L206" i="5" s="1"/>
  <c r="M182" i="5"/>
  <c r="O182" i="5"/>
  <c r="N182" i="5"/>
  <c r="P182" i="5"/>
  <c r="P107" i="5"/>
  <c r="O107" i="5"/>
  <c r="M90" i="5" l="1"/>
  <c r="P200" i="5"/>
  <c r="P21" i="5" s="1"/>
  <c r="P49" i="5" s="1"/>
  <c r="P205" i="5"/>
  <c r="M203" i="5"/>
  <c r="L88" i="5"/>
  <c r="N200" i="5"/>
  <c r="N21" i="5" s="1"/>
  <c r="N49" i="5" s="1"/>
  <c r="N205" i="5"/>
  <c r="M200" i="5"/>
  <c r="M21" i="5" s="1"/>
  <c r="M49" i="5" s="1"/>
  <c r="M205" i="5"/>
  <c r="O200" i="5"/>
  <c r="O21" i="5" s="1"/>
  <c r="O49" i="5" s="1"/>
  <c r="O205" i="5"/>
  <c r="O209" i="5"/>
  <c r="O212" i="5" s="1"/>
  <c r="N90" i="5"/>
  <c r="L200" i="5"/>
  <c r="L21" i="5" s="1"/>
  <c r="L49" i="5" s="1"/>
  <c r="N22" i="5" l="1"/>
  <c r="P209" i="5"/>
  <c r="P212" i="5" s="1"/>
  <c r="P90" i="5" s="1"/>
  <c r="O90" i="5"/>
  <c r="M206" i="5"/>
  <c r="M22" i="5"/>
  <c r="L22" i="5"/>
  <c r="L93" i="5"/>
  <c r="N203" i="5" l="1"/>
  <c r="N206" i="5" s="1"/>
  <c r="M88" i="5"/>
  <c r="M93" i="5" s="1"/>
  <c r="O203" i="5" l="1"/>
  <c r="O206" i="5" s="1"/>
  <c r="N88" i="5"/>
  <c r="N93" i="5" s="1"/>
  <c r="P203" i="5" l="1"/>
  <c r="P206" i="5" s="1"/>
  <c r="P88" i="5" s="1"/>
  <c r="P93" i="5" s="1"/>
  <c r="O88" i="5"/>
  <c r="O93" i="5" s="1"/>
  <c r="O26" i="4" l="1"/>
  <c r="O39" i="3" l="1"/>
  <c r="O127" i="5" s="1"/>
  <c r="O137" i="5" s="1"/>
  <c r="P137" i="5" s="1"/>
  <c r="P142" i="5" s="1"/>
  <c r="P143" i="5" s="1"/>
  <c r="P12" i="5" s="1"/>
  <c r="O142" i="5" l="1"/>
  <c r="O143" i="5" s="1"/>
  <c r="O12" i="5" s="1"/>
  <c r="O70" i="6" s="1"/>
  <c r="O71" i="6" s="1"/>
  <c r="P70" i="6"/>
  <c r="P19" i="5"/>
  <c r="P239" i="5"/>
  <c r="P243" i="5" s="1"/>
  <c r="O239" i="5" l="1"/>
  <c r="O243" i="5" s="1"/>
  <c r="O246" i="5" s="1"/>
  <c r="O250" i="5" s="1"/>
  <c r="O19" i="5"/>
  <c r="O22" i="5" s="1"/>
  <c r="P71" i="6"/>
  <c r="P83" i="5"/>
  <c r="P246" i="5"/>
  <c r="P250" i="5" s="1"/>
  <c r="P73" i="6"/>
  <c r="P22" i="5"/>
  <c r="P37" i="5"/>
  <c r="P75" i="6" s="1"/>
  <c r="O83" i="5" l="1"/>
  <c r="O73" i="6"/>
  <c r="O74" i="6" s="1"/>
  <c r="O37" i="5"/>
  <c r="O75" i="6" s="1"/>
  <c r="P74" i="6"/>
  <c r="O252" i="5"/>
  <c r="O51" i="5" s="1"/>
  <c r="P252" i="5"/>
  <c r="P51" i="5" s="1"/>
  <c r="I3" i="3"/>
  <c r="I3" i="5"/>
  <c r="L25" i="5"/>
  <c r="M25" i="5"/>
  <c r="N25" i="5"/>
  <c r="O25" i="5"/>
  <c r="P25" i="5"/>
  <c r="L26" i="5"/>
  <c r="M26" i="5"/>
  <c r="N26" i="5"/>
  <c r="O26" i="5"/>
  <c r="P26" i="5"/>
  <c r="L28" i="5"/>
  <c r="M28" i="5"/>
  <c r="N28" i="5"/>
  <c r="O28" i="5"/>
  <c r="P28" i="5"/>
  <c r="L30" i="5"/>
  <c r="M30" i="5"/>
  <c r="N30" i="5"/>
  <c r="O30" i="5"/>
  <c r="P30" i="5"/>
  <c r="L32" i="5"/>
  <c r="M32" i="5"/>
  <c r="N32" i="5"/>
  <c r="O32" i="5"/>
  <c r="P32" i="5"/>
  <c r="L35" i="5"/>
  <c r="M35" i="5"/>
  <c r="N35" i="5"/>
  <c r="O35" i="5"/>
  <c r="P35" i="5"/>
  <c r="L39" i="5"/>
  <c r="M39" i="5"/>
  <c r="N39" i="5"/>
  <c r="O39" i="5"/>
  <c r="P39" i="5"/>
  <c r="L40" i="5"/>
  <c r="M40" i="5"/>
  <c r="N40" i="5"/>
  <c r="O40" i="5"/>
  <c r="P40" i="5"/>
  <c r="L41" i="5"/>
  <c r="M41" i="5"/>
  <c r="N41" i="5"/>
  <c r="O41" i="5"/>
  <c r="P41" i="5"/>
  <c r="L42" i="5"/>
  <c r="M42" i="5"/>
  <c r="N42" i="5"/>
  <c r="O42" i="5"/>
  <c r="P42" i="5"/>
  <c r="L48" i="5"/>
  <c r="M48" i="5"/>
  <c r="N48" i="5"/>
  <c r="O48" i="5"/>
  <c r="P48" i="5"/>
  <c r="L54" i="5"/>
  <c r="M54" i="5"/>
  <c r="N54" i="5"/>
  <c r="O54" i="5"/>
  <c r="P54" i="5"/>
  <c r="L63" i="5"/>
  <c r="M63" i="5"/>
  <c r="N63" i="5"/>
  <c r="O63" i="5"/>
  <c r="P63" i="5"/>
  <c r="L69" i="5"/>
  <c r="M69" i="5"/>
  <c r="N69" i="5"/>
  <c r="O69" i="5"/>
  <c r="P69" i="5"/>
  <c r="L71" i="5"/>
  <c r="M71" i="5"/>
  <c r="N71" i="5"/>
  <c r="O71" i="5"/>
  <c r="P71" i="5"/>
  <c r="L73" i="5"/>
  <c r="M73" i="5"/>
  <c r="N73" i="5"/>
  <c r="O73" i="5"/>
  <c r="P73" i="5"/>
  <c r="M74" i="5"/>
  <c r="N74" i="5"/>
  <c r="O74" i="5"/>
  <c r="P74" i="5"/>
  <c r="L75" i="5"/>
  <c r="M75" i="5"/>
  <c r="N75" i="5"/>
  <c r="O75" i="5"/>
  <c r="P75" i="5"/>
  <c r="L82" i="5"/>
  <c r="M82" i="5"/>
  <c r="N82" i="5"/>
  <c r="O82" i="5"/>
  <c r="P82" i="5"/>
  <c r="L86" i="5"/>
  <c r="M86" i="5"/>
  <c r="N86" i="5"/>
  <c r="O86" i="5"/>
  <c r="P86" i="5"/>
  <c r="L95" i="5"/>
  <c r="M95" i="5"/>
  <c r="N95" i="5"/>
  <c r="O95" i="5"/>
  <c r="P95" i="5"/>
  <c r="L99" i="5"/>
  <c r="M99" i="5"/>
  <c r="N99" i="5"/>
  <c r="O99" i="5"/>
  <c r="P99" i="5"/>
  <c r="L102" i="5"/>
  <c r="M102" i="5"/>
  <c r="N102" i="5"/>
  <c r="O102" i="5"/>
  <c r="P102" i="5"/>
  <c r="L109" i="5"/>
  <c r="M109" i="5"/>
  <c r="N109" i="5"/>
  <c r="O109" i="5"/>
  <c r="P109" i="5"/>
  <c r="L113" i="5"/>
  <c r="M113" i="5"/>
  <c r="N113" i="5"/>
  <c r="O113" i="5"/>
  <c r="P113" i="5"/>
  <c r="L115" i="5"/>
  <c r="M115" i="5"/>
  <c r="N115" i="5"/>
  <c r="O115" i="5"/>
  <c r="P115" i="5"/>
  <c r="L117" i="5"/>
  <c r="M117" i="5"/>
  <c r="N117" i="5"/>
  <c r="O117" i="5"/>
  <c r="P117" i="5"/>
  <c r="F119" i="5"/>
  <c r="L119" i="5"/>
  <c r="M119" i="5"/>
  <c r="N119" i="5"/>
  <c r="O119" i="5"/>
  <c r="P119" i="5"/>
  <c r="L221" i="5"/>
  <c r="M221" i="5"/>
  <c r="N221" i="5"/>
  <c r="O221" i="5"/>
  <c r="P221" i="5"/>
  <c r="L223" i="5"/>
  <c r="M223" i="5"/>
  <c r="N223" i="5"/>
  <c r="O223" i="5"/>
  <c r="P223" i="5"/>
  <c r="L225" i="5"/>
  <c r="M225" i="5"/>
  <c r="N225" i="5"/>
  <c r="O225" i="5"/>
  <c r="P225" i="5"/>
  <c r="L228" i="5"/>
  <c r="M228" i="5"/>
  <c r="N228" i="5"/>
  <c r="O228" i="5"/>
  <c r="P228" i="5"/>
  <c r="L230" i="5"/>
  <c r="M230" i="5"/>
  <c r="N230" i="5"/>
  <c r="O230" i="5"/>
  <c r="P230" i="5"/>
  <c r="L231" i="5"/>
  <c r="M231" i="5"/>
  <c r="N231" i="5"/>
  <c r="O231" i="5"/>
  <c r="P231" i="5"/>
  <c r="L269" i="5"/>
  <c r="M269" i="5"/>
  <c r="N269" i="5"/>
  <c r="O269" i="5"/>
  <c r="P269" i="5"/>
  <c r="M282" i="5"/>
  <c r="N282" i="5"/>
  <c r="O282" i="5"/>
  <c r="P282" i="5"/>
  <c r="L283" i="5"/>
  <c r="M283" i="5"/>
  <c r="N283" i="5"/>
  <c r="O283" i="5"/>
  <c r="P283" i="5"/>
  <c r="L284" i="5"/>
  <c r="M284" i="5"/>
  <c r="N284" i="5"/>
  <c r="O284" i="5"/>
  <c r="P284" i="5"/>
  <c r="L285" i="5"/>
  <c r="M285" i="5"/>
  <c r="N285" i="5"/>
  <c r="O285" i="5"/>
  <c r="P285" i="5"/>
  <c r="M314" i="5"/>
  <c r="N314" i="5"/>
  <c r="O314" i="5"/>
  <c r="P314" i="5"/>
  <c r="L315" i="5"/>
  <c r="M315" i="5"/>
  <c r="N315" i="5"/>
  <c r="O315" i="5"/>
  <c r="P315" i="5"/>
  <c r="L316" i="5"/>
  <c r="M316" i="5"/>
  <c r="N316" i="5"/>
  <c r="O316" i="5"/>
  <c r="P316" i="5"/>
  <c r="L318" i="5"/>
  <c r="M318" i="5"/>
  <c r="N318" i="5"/>
  <c r="O318" i="5"/>
  <c r="P318" i="5"/>
  <c r="L322" i="5"/>
  <c r="M322" i="5"/>
  <c r="N322" i="5"/>
  <c r="O322" i="5"/>
  <c r="P322" i="5"/>
  <c r="L327" i="5"/>
  <c r="M327" i="5"/>
  <c r="N327" i="5"/>
  <c r="O327" i="5"/>
  <c r="P327" i="5"/>
  <c r="L328" i="5"/>
  <c r="M328" i="5"/>
  <c r="N328" i="5"/>
  <c r="O328" i="5"/>
  <c r="P328" i="5"/>
  <c r="M331" i="5"/>
  <c r="N331" i="5"/>
  <c r="O331" i="5"/>
  <c r="P331" i="5"/>
  <c r="L332" i="5"/>
  <c r="M332" i="5"/>
  <c r="N332" i="5"/>
  <c r="O332" i="5"/>
  <c r="P332" i="5"/>
  <c r="L333" i="5"/>
  <c r="M333" i="5"/>
  <c r="N333" i="5"/>
  <c r="O333" i="5"/>
  <c r="P333" i="5"/>
  <c r="L335" i="5"/>
  <c r="M335" i="5"/>
  <c r="N335" i="5"/>
  <c r="O335" i="5"/>
  <c r="P335" i="5"/>
  <c r="L340" i="5"/>
  <c r="M340" i="5"/>
  <c r="N340" i="5"/>
  <c r="O340" i="5"/>
  <c r="P340" i="5"/>
  <c r="L341" i="5"/>
  <c r="M341" i="5"/>
  <c r="N341" i="5"/>
  <c r="O341" i="5"/>
  <c r="P341" i="5"/>
  <c r="L342" i="5"/>
  <c r="M342" i="5"/>
  <c r="N342" i="5"/>
  <c r="O342" i="5"/>
  <c r="P342" i="5"/>
  <c r="I3" i="4"/>
  <c r="I3" i="6"/>
  <c r="L77" i="6"/>
  <c r="M77" i="6"/>
  <c r="N77" i="6"/>
  <c r="O77" i="6"/>
  <c r="P77" i="6"/>
  <c r="L78" i="6"/>
  <c r="M78" i="6"/>
  <c r="N78" i="6"/>
  <c r="O78" i="6"/>
  <c r="P78" i="6"/>
  <c r="L79" i="6"/>
  <c r="M79" i="6"/>
  <c r="N79" i="6"/>
  <c r="O79" i="6"/>
  <c r="P79" i="6"/>
  <c r="L81" i="6"/>
  <c r="M81" i="6"/>
  <c r="N81" i="6"/>
  <c r="O81" i="6"/>
  <c r="P81" i="6"/>
  <c r="L82" i="6"/>
  <c r="M82" i="6"/>
  <c r="N82" i="6"/>
  <c r="O82" i="6"/>
  <c r="P82" i="6"/>
  <c r="L83" i="6"/>
  <c r="M83" i="6"/>
  <c r="N83" i="6"/>
  <c r="O83" i="6"/>
  <c r="P83" i="6"/>
  <c r="L84" i="6"/>
  <c r="M84" i="6"/>
  <c r="N84" i="6"/>
  <c r="O84" i="6"/>
  <c r="P84" i="6"/>
</calcChain>
</file>

<file path=xl/sharedStrings.xml><?xml version="1.0" encoding="utf-8"?>
<sst xmlns="http://schemas.openxmlformats.org/spreadsheetml/2006/main" count="760" uniqueCount="271">
  <si>
    <t>Income Statement</t>
  </si>
  <si>
    <t>Cost of Sales</t>
  </si>
  <si>
    <t>SG&amp;A</t>
  </si>
  <si>
    <t>Total Costs</t>
  </si>
  <si>
    <t>EBITDA</t>
  </si>
  <si>
    <t>Depreciation</t>
  </si>
  <si>
    <t>EBIT</t>
  </si>
  <si>
    <t>EBT</t>
  </si>
  <si>
    <t>Current Taxes</t>
  </si>
  <si>
    <t>Deferred Income Taxes</t>
  </si>
  <si>
    <t>Total Income Taxes</t>
  </si>
  <si>
    <t>Net Income</t>
  </si>
  <si>
    <t>Net Income to Common</t>
  </si>
  <si>
    <t>Cash Flow Statement</t>
  </si>
  <si>
    <t>Operating Activities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</si>
  <si>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</si>
  <si>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</si>
  <si>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</si>
  <si>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</si>
  <si>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</si>
  <si>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</si>
  <si>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</si>
  <si>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Financing Cash Flow</t>
  </si>
  <si>
    <t>Balance Sheet</t>
  </si>
  <si>
    <t>ASSETS</t>
  </si>
  <si>
    <t>Accounts Receivable</t>
  </si>
  <si>
    <t>Inventory</t>
  </si>
  <si>
    <t>Other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</si>
  <si>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</si>
  <si>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</si>
  <si>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</si>
  <si>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</si>
  <si>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</si>
  <si>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</si>
  <si>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Accounts Payable</t>
  </si>
  <si>
    <t>Total Current Liabilities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</si>
  <si>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</si>
  <si>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</si>
  <si>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</si>
  <si>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</si>
  <si>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</si>
  <si>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</si>
  <si>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Change in Cash Position</t>
  </si>
  <si>
    <t>Beginning Cash</t>
  </si>
  <si>
    <t>Ending Cash</t>
  </si>
  <si>
    <t>Cash and Equivalents</t>
  </si>
  <si>
    <t>Gross Revenue</t>
  </si>
  <si>
    <t>($ Millions)</t>
  </si>
  <si>
    <t>Modeller</t>
  </si>
  <si>
    <t>Version</t>
  </si>
  <si>
    <t>Ver 1.01</t>
  </si>
  <si>
    <t>Actual</t>
  </si>
  <si>
    <t>Forecast</t>
  </si>
  <si>
    <t>Summary</t>
  </si>
  <si>
    <t>Inputs &amp; Assumptions</t>
  </si>
  <si>
    <t>Scenario Analysis</t>
  </si>
  <si>
    <t>Model &amp; Schedules</t>
  </si>
  <si>
    <t>General Assumptions</t>
  </si>
  <si>
    <t>Days in the Year</t>
  </si>
  <si>
    <t>Style Guide</t>
  </si>
  <si>
    <t>Number</t>
  </si>
  <si>
    <t>Input</t>
  </si>
  <si>
    <t>Percent</t>
  </si>
  <si>
    <t>Multiples</t>
  </si>
  <si>
    <t>Linked Cell</t>
  </si>
  <si>
    <t>Units</t>
  </si>
  <si>
    <t>Headings 1</t>
  </si>
  <si>
    <t>Headings 2</t>
  </si>
  <si>
    <t>Headings 3</t>
  </si>
  <si>
    <t>Inputs</t>
  </si>
  <si>
    <t>Scenario Used</t>
  </si>
  <si>
    <t>Base Case</t>
  </si>
  <si>
    <t>Best Case</t>
  </si>
  <si>
    <t>Worst Case</t>
  </si>
  <si>
    <t>Used in the Model</t>
  </si>
  <si>
    <t>Cost Inflation Scenario</t>
  </si>
  <si>
    <t>Text</t>
  </si>
  <si>
    <t>TEXT</t>
  </si>
  <si>
    <t>Revenue Assumptions</t>
  </si>
  <si>
    <t>%</t>
  </si>
  <si>
    <t>Production Cost Assumptions</t>
  </si>
  <si>
    <t>SG&amp; A</t>
  </si>
  <si>
    <t>Capex &amp; Depreciation Assumptions</t>
  </si>
  <si>
    <t>Depreciation Method</t>
  </si>
  <si>
    <t>Straight Line</t>
  </si>
  <si>
    <t>Additions</t>
  </si>
  <si>
    <t>New Assets</t>
  </si>
  <si>
    <t>Remaining Assets</t>
  </si>
  <si>
    <t>Years</t>
  </si>
  <si>
    <t>Working Capital Assumptions</t>
  </si>
  <si>
    <t>Balances</t>
  </si>
  <si>
    <t>Net Sales</t>
  </si>
  <si>
    <t>Other Assets</t>
  </si>
  <si>
    <t>Other Liabilities</t>
  </si>
  <si>
    <t>Days</t>
  </si>
  <si>
    <t>Extract from Financials</t>
  </si>
  <si>
    <t>Taxation Assumptions</t>
  </si>
  <si>
    <t>Company Tax Rate</t>
  </si>
  <si>
    <t>Debt &amp; Interest Rate Assumptions</t>
  </si>
  <si>
    <t>Interest rates</t>
  </si>
  <si>
    <t>Excess Cash</t>
  </si>
  <si>
    <t>Revolver</t>
  </si>
  <si>
    <t>Equity Assumptions</t>
  </si>
  <si>
    <t>Stock Price</t>
  </si>
  <si>
    <t>Other Assumptions</t>
  </si>
  <si>
    <t>Cost inflation</t>
  </si>
  <si>
    <t>FINANCIAL STATEMENTS</t>
  </si>
  <si>
    <t>EBITA Margin</t>
  </si>
  <si>
    <t>Net Profit Margin</t>
  </si>
  <si>
    <t>ROE</t>
  </si>
  <si>
    <t>Asset Turnover</t>
  </si>
  <si>
    <t>Financial Leverage</t>
  </si>
  <si>
    <t>Dupont Analysis</t>
  </si>
  <si>
    <t>Accuracy Check</t>
  </si>
  <si>
    <t>SCHEDULES &amp; CALCULATIONS</t>
  </si>
  <si>
    <t>Revenue Schedule</t>
  </si>
  <si>
    <t>Revenue</t>
  </si>
  <si>
    <t>units</t>
  </si>
  <si>
    <t>Cost of Production Schedule</t>
  </si>
  <si>
    <t>Total Cost of Sales</t>
  </si>
  <si>
    <t>Fixed Cost</t>
  </si>
  <si>
    <t>Variable Cost</t>
  </si>
  <si>
    <t>Total Fixed Cost</t>
  </si>
  <si>
    <t>Depreciation on Existing Assets</t>
  </si>
  <si>
    <t>Existing Assets NBV</t>
  </si>
  <si>
    <t>Depreciation Schedule for New Assets</t>
  </si>
  <si>
    <t>Depreciation on New Assets</t>
  </si>
  <si>
    <t>Total Depreciation for the Year</t>
  </si>
  <si>
    <t>Taxation Calculations</t>
  </si>
  <si>
    <t>EBT: Accounting</t>
  </si>
  <si>
    <t>EBT: Government</t>
  </si>
  <si>
    <t>Accounting Tax</t>
  </si>
  <si>
    <t>Check</t>
  </si>
  <si>
    <t>Working Capital Schedule</t>
  </si>
  <si>
    <t>Operating Working Capital</t>
  </si>
  <si>
    <t>Assets</t>
  </si>
  <si>
    <t>Liabilities</t>
  </si>
  <si>
    <t>OWC</t>
  </si>
  <si>
    <t>Change in OWC</t>
  </si>
  <si>
    <t>Equity Schedules</t>
  </si>
  <si>
    <t>Beginning Balance</t>
  </si>
  <si>
    <t>Ending Balance</t>
  </si>
  <si>
    <t>New Issue / (Buy Back)</t>
  </si>
  <si>
    <t>Net Profit</t>
  </si>
  <si>
    <t>Dividends</t>
  </si>
  <si>
    <t>Debt &amp; Interest Calculations</t>
  </si>
  <si>
    <t>Interest Rates on</t>
  </si>
  <si>
    <t>Repayment</t>
  </si>
  <si>
    <t>Cash Generated in the Year</t>
  </si>
  <si>
    <t>FCF after all Mandatory Debt &amp; Dividends</t>
  </si>
  <si>
    <t>New issue of Revolver / (Repayment)</t>
  </si>
  <si>
    <t>Interest Expense on Revolver</t>
  </si>
  <si>
    <t>Summary of Interest Expense</t>
  </si>
  <si>
    <t>Interest Income on Excess Cash</t>
  </si>
  <si>
    <t>Circularity in Model</t>
  </si>
  <si>
    <t>Net Interest Expense</t>
  </si>
  <si>
    <t>Growth Rate</t>
  </si>
  <si>
    <t>times</t>
  </si>
  <si>
    <t>Trend</t>
  </si>
  <si>
    <t>Analysis Based on : Base Case Scenario</t>
  </si>
  <si>
    <t>Analysis Based on : Best Case Scenario</t>
  </si>
  <si>
    <t>Analysis Based on : Worst Case Scenario</t>
  </si>
  <si>
    <t>Summary Generator:</t>
  </si>
  <si>
    <t>Goodwill</t>
  </si>
  <si>
    <t>Intangibles</t>
  </si>
  <si>
    <t>Variable Rate Long Term Debt</t>
  </si>
  <si>
    <t>Fixed Rate Long Term Debt</t>
  </si>
  <si>
    <t>Millions</t>
  </si>
  <si>
    <t>Constant</t>
  </si>
  <si>
    <t>Auxillary Revenue</t>
  </si>
  <si>
    <t>Core Revenue</t>
  </si>
  <si>
    <t>Amortisation on Fixed Senior secured Debt</t>
  </si>
  <si>
    <t>Amortisation on Variable Senior secured Debt</t>
  </si>
  <si>
    <t>Fixed Rate Senior Secured Debt</t>
  </si>
  <si>
    <t>Debt Repayment</t>
  </si>
  <si>
    <t>Common Share Issuance / (Buy-Back)</t>
  </si>
  <si>
    <t>Gross Sales Price per sqm</t>
  </si>
  <si>
    <t>Core Revenue Assumptions</t>
  </si>
  <si>
    <t>Dividend Pay-out Ratio</t>
  </si>
  <si>
    <t>Total Variable Cost</t>
  </si>
  <si>
    <t>Common Shares Outstanding</t>
  </si>
  <si>
    <t>Premium on Variable Rate Term Debt</t>
  </si>
  <si>
    <t>Fixed Rate Term Debt</t>
  </si>
  <si>
    <t>Variable Rate Term Debt</t>
  </si>
  <si>
    <t>All-in Interest Rate for Variable Rate Debt</t>
  </si>
  <si>
    <t>Mandatory Debt Repayment</t>
  </si>
  <si>
    <t>Interest Expense on Fixed Rate Debt</t>
  </si>
  <si>
    <t>Interest Expense on Variable Rate Debt</t>
  </si>
  <si>
    <t>Share Issuance / (Repayment)</t>
  </si>
  <si>
    <t>Change in Other Investing Activities: Additions / (Reduction)</t>
  </si>
  <si>
    <t>Change in Other Financing Activities: Additions / (Reduction)</t>
  </si>
  <si>
    <t>Change in Other Operating Activities: Additions / (Reduction)</t>
  </si>
  <si>
    <t>Change in Other Equity: Additions / (Reduction)</t>
  </si>
  <si>
    <t>Cash Reserve Requirements</t>
  </si>
  <si>
    <t>Minimum cash balance for all forecast years</t>
  </si>
  <si>
    <t>Cash Reserve Requirement (Minimum Cash Balance)</t>
  </si>
  <si>
    <t>Intangible Assets</t>
  </si>
  <si>
    <t>Change in Goodwill: Addition / (impairement)</t>
  </si>
  <si>
    <t>Goodwiill Addition/(Impairement)</t>
  </si>
  <si>
    <t>Revenue Growth</t>
  </si>
  <si>
    <t>COGS (% of revenue)</t>
  </si>
  <si>
    <t>SG&amp;A (% of revenue)</t>
  </si>
  <si>
    <t>Preferred Dividend</t>
  </si>
  <si>
    <t>Preferred Share Issuance/ (Buy-Back)</t>
  </si>
  <si>
    <t>Common Share Issuance/ (Buy-Back)</t>
  </si>
  <si>
    <t>Preferred Share Dividends</t>
  </si>
  <si>
    <t>Common Share Dividends</t>
  </si>
  <si>
    <t>Preferred Shares</t>
  </si>
  <si>
    <t>Base Year</t>
  </si>
  <si>
    <t>Average Unit Sales Price</t>
  </si>
  <si>
    <t>Total Sales</t>
  </si>
  <si>
    <t>Auxillary Sales</t>
  </si>
  <si>
    <t>$'m</t>
  </si>
  <si>
    <t>$</t>
  </si>
  <si>
    <t>Industrial Monitor Sales</t>
  </si>
  <si>
    <t>Quantity of Industrial Monitors Sold</t>
  </si>
  <si>
    <t>Variable cost per Device</t>
  </si>
  <si>
    <t>Additional Devices</t>
  </si>
  <si>
    <t>Device Forecast</t>
  </si>
  <si>
    <t>Increase in Average Sales Price per Device</t>
  </si>
  <si>
    <t>Core Business: Volume Growth</t>
  </si>
  <si>
    <t>Auxiliary Business YoY Sales Growth</t>
  </si>
  <si>
    <t>Core Business: Sales Price inflation Rate</t>
  </si>
  <si>
    <t>Volume Growth Rate in Devices</t>
  </si>
  <si>
    <t>Core Business: Sales Price Inflation Scenarios</t>
  </si>
  <si>
    <t>Auxiliary Business: Sales Growth Rate</t>
  </si>
  <si>
    <t>Volume: New Devices</t>
  </si>
  <si>
    <t>Core Business</t>
  </si>
  <si>
    <t>$/sqm</t>
  </si>
  <si>
    <t>LIBOR</t>
  </si>
  <si>
    <t>Company will draw on Revolver if it needs to through a cash sweep &amp; Debt Amortising payments occur in the middle of the year</t>
  </si>
  <si>
    <t>Cost Adjustments (from Operations) - Gain/(Loss)</t>
  </si>
  <si>
    <t>Cost Adjustments (from Financing) - Gain/(Loss)</t>
  </si>
  <si>
    <t>Formula in</t>
  </si>
  <si>
    <t>Net Interest Expense Line of the P&amp;L</t>
  </si>
  <si>
    <t>CTD Industries</t>
  </si>
  <si>
    <t>Deferred income taxes</t>
  </si>
  <si>
    <t>Incremental in EBT due to timing Diff</t>
  </si>
  <si>
    <t>Volume capacity</t>
  </si>
  <si>
    <t>Actual Volume: New Devices</t>
  </si>
  <si>
    <t>Capex (Tangible Assets)</t>
  </si>
  <si>
    <t>Capex (Intangible Assets)</t>
  </si>
  <si>
    <t>Useful Life of Assets (Intangible)</t>
  </si>
  <si>
    <t>Useful Life of Assets (Tangible)</t>
  </si>
  <si>
    <t>Amortization Method</t>
  </si>
  <si>
    <t>Capex &amp; Depreciation/Amortization Schedule</t>
  </si>
  <si>
    <t>Depreciation &amp; Amortization</t>
  </si>
  <si>
    <t>Amortization on new Intangible Assets</t>
  </si>
  <si>
    <t>Amortization on Existing Intangible Assets</t>
  </si>
  <si>
    <t>Tangible Assets</t>
  </si>
  <si>
    <t>Total Amortization for the Year</t>
  </si>
  <si>
    <t>Total depreciation &amp; amortization</t>
  </si>
  <si>
    <t>Fixed Assets (Tangible) Schedule</t>
  </si>
  <si>
    <t>Beginning balance</t>
  </si>
  <si>
    <t>Add: New Capex</t>
  </si>
  <si>
    <t>Less: Depreciation</t>
  </si>
  <si>
    <t>Ending balance</t>
  </si>
  <si>
    <t>Intangible Assets Schedule</t>
  </si>
  <si>
    <t>Amortization Schedule for New Assets</t>
  </si>
  <si>
    <t>Asset Disposal</t>
  </si>
  <si>
    <t>Total Preferred Dividends</t>
  </si>
  <si>
    <t>Preferred Dividends</t>
  </si>
  <si>
    <t>Preferred Shares Outstanding</t>
  </si>
  <si>
    <t>Preferred Dividend Rate</t>
  </si>
  <si>
    <t>Preferred Dividends on Opening Balance</t>
  </si>
  <si>
    <t>Preferred Share Issuance / (Buy-Back)</t>
  </si>
  <si>
    <t>Cost Adjustments - (Gain) / Loss</t>
  </si>
  <si>
    <t>Dividends Payable</t>
  </si>
  <si>
    <t>Fixed Rate Long Term Debt Issue / (Repayment)</t>
  </si>
  <si>
    <t>Variable Rate Long Term Debt Issue / (Repayment)</t>
  </si>
  <si>
    <t>Animashaun Jafar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</si>
</sst>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_(* #,##0_);_(* \(#,##0\);_(* &quot;-&quot;??_);_(@_)"/>
    <numFmt numFmtId="168" formatCode="0\A"/>
    <numFmt numFmtId="169" formatCode="#,##0.0_);\(#,##0.0\)"/>
    <numFmt numFmtId="170" formatCode="#,##0.000_);\(#,##0.000\)"/>
    <numFmt numFmtId="171" formatCode="_(* #,##0.0_);_(* \(#,##0.0\);_(* &quot;-&quot;??_);_(@_)"/>
    <numFmt numFmtId="172" formatCode="_-* #,##0_-;\-* #,##0_-;_-* &quot;-&quot;??_-;_-@_-"/>
    <numFmt numFmtId="173" formatCode="\F0\A"/>
    <numFmt numFmtId="174" formatCode="#,##0.0"/>
    <numFmt numFmtId="175" formatCode="0\F"/>
    <numFmt numFmtId="176" formatCode="#,##0.0_);[Red]\(#,##0.0\)"/>
    <numFmt numFmtId="177" formatCode="0.0%"/>
    <numFmt numFmtId="178" formatCode="\+0.0%;\-0.0%"/>
    <numFmt numFmtId="179" formatCode="_([$$-409]* #,##0.00_);_([$$-409]* \(#,##0.00\);_([$$-409]* &quot;-&quot;??_);_(@_)"/>
    <numFmt numFmtId="180" formatCode="#,##0.0_);[Red]\(#,##0.0\);\-"/>
    <numFmt numFmtId="181" formatCode="0.0\x"/>
    <numFmt numFmtId="182" formatCode="#,##0.0000000000000000_);[Red]\(#,##0.0000000000000000\)"/>
    <numFmt numFmtId="183" formatCode="0.0%;\(0.0%\)"/>
    <numFmt numFmtId="184" formatCode="&quot;$&quot;#,##0.0_);\(&quot;$&quot;#,##0.0\)"/>
    <numFmt numFmtId="185" formatCode="#,##0.0000_);[Red]\(#,##0.0000\)"/>
    <numFmt numFmtId="186" formatCode="#,##0.00000000_);[Red]\(#,##0.00000000\)"/>
  </numFmts>
  <fonts count="36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indexed="12"/>
      <name val="Times New Roman"/>
      <family val="1"/>
    </font>
    <font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5"/>
      <name val="Arial"/>
      <family val="2"/>
    </font>
    <font>
      <b/>
      <sz val="10"/>
      <color theme="5"/>
      <name val="Arial"/>
      <family val="2"/>
    </font>
    <font>
      <b/>
      <u/>
      <sz val="10"/>
      <name val="Arial"/>
      <family val="2"/>
    </font>
    <font>
      <sz val="10"/>
      <color theme="3"/>
      <name val="Arial"/>
      <family val="2"/>
    </font>
    <font>
      <sz val="10"/>
      <color rgb="FF1F497D"/>
      <name val="Arial"/>
      <family val="2"/>
    </font>
    <font>
      <sz val="9"/>
      <color theme="0" tint="-0.499984740745262"/>
      <name val="Arial"/>
      <family val="2"/>
    </font>
    <font>
      <b/>
      <sz val="9"/>
      <color theme="0" tint="-0.499984740745262"/>
      <name val="Arial"/>
      <family val="2"/>
    </font>
    <font>
      <i/>
      <sz val="9"/>
      <color theme="0" tint="-0.49998474074526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rgb="FF0000FF"/>
      <name val="Arial"/>
      <family val="2"/>
    </font>
    <font>
      <b/>
      <i/>
      <sz val="10"/>
      <name val="Arial"/>
      <family val="2"/>
    </font>
    <font>
      <sz val="8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8">
    <xf numFmtId="176" fontId="0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2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5" fontId="5" fillId="0" borderId="6">
      <protection locked="0"/>
    </xf>
    <xf numFmtId="0" fontId="4" fillId="0" borderId="7" applyNumberFormat="0" applyFont="0" applyFill="0" applyAlignment="0" applyProtection="0"/>
    <xf numFmtId="0" fontId="6" fillId="0" borderId="0" applyNumberFormat="0" applyFill="0" applyBorder="0" applyAlignment="0" applyProtection="0"/>
    <xf numFmtId="172" fontId="3" fillId="0" borderId="0" applyNumberFormat="0" applyFill="0" applyBorder="0" applyAlignment="0" applyProtection="0"/>
    <xf numFmtId="0" fontId="4" fillId="0" borderId="5" applyNumberFormat="0" applyFont="0" applyFill="0" applyAlignment="0" applyProtection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2" borderId="0" applyNumberFormat="0" applyFont="0" applyBorder="0" applyAlignment="0" applyProtection="0"/>
    <xf numFmtId="176" fontId="19" fillId="3" borderId="5" applyNumberFormat="0" applyAlignment="0">
      <protection locked="0"/>
    </xf>
    <xf numFmtId="176" fontId="21" fillId="0" borderId="0" applyNumberFormat="0" applyFill="0" applyBorder="0" applyAlignment="0" applyProtection="0"/>
    <xf numFmtId="176" fontId="1" fillId="0" borderId="14" applyNumberFormat="0" applyFont="0" applyFill="0" applyAlignment="0" applyProtection="0"/>
    <xf numFmtId="181" fontId="1" fillId="0" borderId="0" applyFont="0" applyFill="0" applyBorder="0" applyAlignment="0" applyProtection="0"/>
    <xf numFmtId="0" fontId="2" fillId="0" borderId="0"/>
  </cellStyleXfs>
  <cellXfs count="194">
    <xf numFmtId="176" fontId="0" fillId="0" borderId="0" xfId="0"/>
    <xf numFmtId="176" fontId="2" fillId="0" borderId="0" xfId="0" applyFont="1" applyProtection="1"/>
    <xf numFmtId="167" fontId="2" fillId="0" borderId="0" xfId="1" applyNumberFormat="1" applyFont="1" applyBorder="1" applyProtection="1"/>
    <xf numFmtId="176" fontId="7" fillId="0" borderId="0" xfId="0" applyFont="1" applyBorder="1" applyAlignment="1" applyProtection="1">
      <alignment horizontal="left"/>
    </xf>
    <xf numFmtId="176" fontId="7" fillId="0" borderId="0" xfId="0" applyFont="1" applyAlignment="1" applyProtection="1">
      <alignment horizontal="centerContinuous"/>
    </xf>
    <xf numFmtId="176" fontId="8" fillId="0" borderId="0" xfId="0" applyFont="1" applyBorder="1" applyAlignment="1" applyProtection="1">
      <alignment horizontal="left"/>
    </xf>
    <xf numFmtId="176" fontId="8" fillId="0" borderId="0" xfId="0" applyFont="1" applyBorder="1" applyAlignment="1" applyProtection="1">
      <alignment horizontal="centerContinuous"/>
    </xf>
    <xf numFmtId="176" fontId="8" fillId="0" borderId="1" xfId="0" applyFont="1" applyBorder="1" applyAlignment="1" applyProtection="1">
      <alignment horizontal="centerContinuous"/>
    </xf>
    <xf numFmtId="176" fontId="9" fillId="0" borderId="0" xfId="0" quotePrefix="1" applyFont="1" applyProtection="1"/>
    <xf numFmtId="176" fontId="10" fillId="0" borderId="0" xfId="0" applyFont="1" applyBorder="1" applyAlignment="1" applyProtection="1">
      <alignment horizontal="centerContinuous"/>
    </xf>
    <xf numFmtId="176" fontId="11" fillId="0" borderId="0" xfId="0" applyFont="1" applyBorder="1" applyProtection="1"/>
    <xf numFmtId="173" fontId="11" fillId="0" borderId="0" xfId="0" quotePrefix="1" applyNumberFormat="1" applyFont="1" applyBorder="1" applyAlignment="1" applyProtection="1">
      <alignment horizontal="right"/>
    </xf>
    <xf numFmtId="176" fontId="2" fillId="0" borderId="0" xfId="0" applyFont="1" applyBorder="1" applyProtection="1"/>
    <xf numFmtId="176" fontId="10" fillId="0" borderId="0" xfId="0" applyFont="1" applyBorder="1" applyProtection="1"/>
    <xf numFmtId="176" fontId="10" fillId="0" borderId="0" xfId="0" applyFont="1" applyProtection="1"/>
    <xf numFmtId="176" fontId="12" fillId="0" borderId="0" xfId="0" applyFont="1" applyAlignment="1" applyProtection="1">
      <alignment horizontal="center"/>
    </xf>
    <xf numFmtId="176" fontId="2" fillId="0" borderId="0" xfId="0" applyFont="1" applyFill="1" applyProtection="1"/>
    <xf numFmtId="176" fontId="2" fillId="0" borderId="2" xfId="0" applyFont="1" applyBorder="1" applyProtection="1"/>
    <xf numFmtId="176" fontId="2" fillId="0" borderId="0" xfId="0" applyFont="1" applyAlignment="1" applyProtection="1">
      <alignment horizontal="centerContinuous"/>
    </xf>
    <xf numFmtId="176" fontId="2" fillId="0" borderId="0" xfId="0" applyFont="1" applyBorder="1" applyAlignment="1" applyProtection="1">
      <alignment horizontal="centerContinuous"/>
    </xf>
    <xf numFmtId="176" fontId="2" fillId="0" borderId="1" xfId="0" applyFont="1" applyBorder="1" applyAlignment="1" applyProtection="1">
      <alignment horizontal="centerContinuous"/>
    </xf>
    <xf numFmtId="176" fontId="9" fillId="0" borderId="0" xfId="0" quotePrefix="1" applyFont="1" applyAlignment="1" applyProtection="1">
      <alignment horizontal="left"/>
    </xf>
    <xf numFmtId="168" fontId="11" fillId="0" borderId="0" xfId="0" applyNumberFormat="1" applyFont="1" applyAlignment="1" applyProtection="1">
      <alignment horizontal="right"/>
    </xf>
    <xf numFmtId="176" fontId="10" fillId="0" borderId="0" xfId="0" applyFont="1" applyFill="1" applyProtection="1"/>
    <xf numFmtId="171" fontId="2" fillId="0" borderId="0" xfId="1" applyNumberFormat="1" applyFont="1" applyBorder="1" applyProtection="1"/>
    <xf numFmtId="171" fontId="2" fillId="0" borderId="0" xfId="1" applyNumberFormat="1" applyFont="1" applyFill="1" applyBorder="1" applyProtection="1"/>
    <xf numFmtId="176" fontId="9" fillId="0" borderId="2" xfId="0" quotePrefix="1" applyFont="1" applyBorder="1" applyAlignment="1" applyProtection="1">
      <alignment horizontal="left"/>
    </xf>
    <xf numFmtId="176" fontId="2" fillId="0" borderId="2" xfId="0" applyFont="1" applyFill="1" applyBorder="1" applyProtection="1"/>
    <xf numFmtId="176" fontId="13" fillId="0" borderId="0" xfId="0" applyFont="1"/>
    <xf numFmtId="176" fontId="14" fillId="0" borderId="0" xfId="0" applyFont="1"/>
    <xf numFmtId="176" fontId="0" fillId="0" borderId="0" xfId="0" applyAlignment="1">
      <alignment horizontal="right"/>
    </xf>
    <xf numFmtId="0" fontId="0" fillId="2" borderId="0" xfId="12" applyFont="1"/>
    <xf numFmtId="0" fontId="15" fillId="2" borderId="0" xfId="12" applyFont="1"/>
    <xf numFmtId="168" fontId="14" fillId="0" borderId="0" xfId="0" applyNumberFormat="1" applyFont="1"/>
    <xf numFmtId="175" fontId="14" fillId="0" borderId="0" xfId="0" applyNumberFormat="1" applyFont="1"/>
    <xf numFmtId="0" fontId="1" fillId="2" borderId="0" xfId="12" applyFont="1" applyAlignment="1">
      <alignment horizontal="centerContinuous"/>
    </xf>
    <xf numFmtId="176" fontId="14" fillId="0" borderId="1" xfId="0" applyFont="1" applyBorder="1"/>
    <xf numFmtId="0" fontId="0" fillId="0" borderId="0" xfId="0" applyNumberFormat="1"/>
    <xf numFmtId="176" fontId="18" fillId="0" borderId="0" xfId="0" applyFont="1"/>
    <xf numFmtId="176" fontId="14" fillId="0" borderId="7" xfId="0" applyFont="1" applyBorder="1"/>
    <xf numFmtId="176" fontId="19" fillId="3" borderId="5" xfId="13">
      <protection locked="0"/>
    </xf>
    <xf numFmtId="176" fontId="14" fillId="0" borderId="10" xfId="0" applyFont="1" applyBorder="1"/>
    <xf numFmtId="176" fontId="0" fillId="0" borderId="11" xfId="0" applyBorder="1"/>
    <xf numFmtId="176" fontId="0" fillId="0" borderId="12" xfId="0" applyBorder="1"/>
    <xf numFmtId="177" fontId="0" fillId="0" borderId="0" xfId="11" applyFont="1"/>
    <xf numFmtId="178" fontId="0" fillId="0" borderId="0" xfId="11" applyNumberFormat="1" applyFont="1"/>
    <xf numFmtId="40" fontId="0" fillId="0" borderId="0" xfId="0" applyNumberFormat="1"/>
    <xf numFmtId="177" fontId="20" fillId="4" borderId="5" xfId="11" applyFont="1" applyFill="1" applyBorder="1" applyProtection="1">
      <protection locked="0"/>
    </xf>
    <xf numFmtId="177" fontId="14" fillId="0" borderId="0" xfId="11" applyFont="1"/>
    <xf numFmtId="176" fontId="21" fillId="0" borderId="0" xfId="14"/>
    <xf numFmtId="176" fontId="0" fillId="0" borderId="14" xfId="15" applyFont="1"/>
    <xf numFmtId="177" fontId="0" fillId="0" borderId="14" xfId="15" applyNumberFormat="1" applyFont="1"/>
    <xf numFmtId="176" fontId="0" fillId="0" borderId="8" xfId="0" applyBorder="1"/>
    <xf numFmtId="176" fontId="0" fillId="0" borderId="15" xfId="0" applyBorder="1"/>
    <xf numFmtId="176" fontId="0" fillId="0" borderId="9" xfId="0" applyBorder="1"/>
    <xf numFmtId="177" fontId="19" fillId="3" borderId="5" xfId="13" applyNumberFormat="1">
      <protection locked="0"/>
    </xf>
    <xf numFmtId="179" fontId="19" fillId="3" borderId="5" xfId="13" applyNumberFormat="1">
      <protection locked="0"/>
    </xf>
    <xf numFmtId="177" fontId="0" fillId="0" borderId="14" xfId="11" applyFont="1" applyBorder="1"/>
    <xf numFmtId="176" fontId="14" fillId="0" borderId="0" xfId="0" applyFont="1" applyBorder="1"/>
    <xf numFmtId="176" fontId="14" fillId="0" borderId="14" xfId="15" applyFont="1"/>
    <xf numFmtId="176" fontId="0" fillId="0" borderId="16" xfId="0" applyBorder="1"/>
    <xf numFmtId="176" fontId="0" fillId="0" borderId="4" xfId="0" applyBorder="1"/>
    <xf numFmtId="176" fontId="0" fillId="0" borderId="17" xfId="0" applyBorder="1"/>
    <xf numFmtId="176" fontId="0" fillId="0" borderId="18" xfId="0" applyBorder="1"/>
    <xf numFmtId="176" fontId="0" fillId="0" borderId="0" xfId="0" applyBorder="1"/>
    <xf numFmtId="176" fontId="0" fillId="0" borderId="19" xfId="0" applyBorder="1"/>
    <xf numFmtId="176" fontId="0" fillId="0" borderId="20" xfId="0" applyBorder="1"/>
    <xf numFmtId="176" fontId="0" fillId="0" borderId="2" xfId="0" applyBorder="1"/>
    <xf numFmtId="176" fontId="0" fillId="0" borderId="0" xfId="0" applyFont="1"/>
    <xf numFmtId="176" fontId="21" fillId="0" borderId="4" xfId="14" applyBorder="1"/>
    <xf numFmtId="176" fontId="21" fillId="0" borderId="0" xfId="14" applyBorder="1"/>
    <xf numFmtId="176" fontId="14" fillId="0" borderId="8" xfId="0" applyFont="1" applyBorder="1"/>
    <xf numFmtId="176" fontId="14" fillId="0" borderId="15" xfId="0" applyFont="1" applyBorder="1"/>
    <xf numFmtId="176" fontId="14" fillId="0" borderId="9" xfId="0" applyFont="1" applyBorder="1"/>
    <xf numFmtId="176" fontId="0" fillId="0" borderId="10" xfId="0" applyBorder="1"/>
    <xf numFmtId="176" fontId="18" fillId="0" borderId="0" xfId="0" applyFont="1" applyAlignment="1">
      <alignment horizontal="right"/>
    </xf>
    <xf numFmtId="176" fontId="21" fillId="0" borderId="15" xfId="14" applyBorder="1"/>
    <xf numFmtId="180" fontId="0" fillId="0" borderId="0" xfId="0" applyNumberFormat="1"/>
    <xf numFmtId="176" fontId="0" fillId="0" borderId="13" xfId="0" applyBorder="1"/>
    <xf numFmtId="176" fontId="21" fillId="0" borderId="2" xfId="14" applyBorder="1"/>
    <xf numFmtId="176" fontId="22" fillId="0" borderId="0" xfId="14" applyFont="1"/>
    <xf numFmtId="176" fontId="22" fillId="0" borderId="15" xfId="14" applyFont="1" applyBorder="1"/>
    <xf numFmtId="176" fontId="0" fillId="0" borderId="1" xfId="0" applyFont="1" applyBorder="1"/>
    <xf numFmtId="176" fontId="0" fillId="0" borderId="0" xfId="0" applyFont="1" applyBorder="1"/>
    <xf numFmtId="181" fontId="0" fillId="0" borderId="0" xfId="16" applyFont="1"/>
    <xf numFmtId="176" fontId="17" fillId="0" borderId="0" xfId="0" applyFont="1"/>
    <xf numFmtId="176" fontId="23" fillId="0" borderId="4" xfId="14" applyFont="1" applyBorder="1"/>
    <xf numFmtId="176" fontId="23" fillId="0" borderId="0" xfId="14" applyFont="1" applyBorder="1"/>
    <xf numFmtId="176" fontId="23" fillId="0" borderId="2" xfId="14" applyFont="1" applyBorder="1"/>
    <xf numFmtId="176" fontId="24" fillId="0" borderId="16" xfId="0" applyFont="1" applyBorder="1"/>
    <xf numFmtId="176" fontId="24" fillId="0" borderId="4" xfId="0" applyFont="1" applyBorder="1"/>
    <xf numFmtId="177" fontId="24" fillId="0" borderId="4" xfId="11" applyFont="1" applyBorder="1"/>
    <xf numFmtId="177" fontId="24" fillId="0" borderId="17" xfId="11" applyFont="1" applyBorder="1"/>
    <xf numFmtId="176" fontId="25" fillId="0" borderId="18" xfId="0" applyFont="1" applyBorder="1"/>
    <xf numFmtId="176" fontId="24" fillId="0" borderId="0" xfId="0" applyFont="1" applyBorder="1"/>
    <xf numFmtId="176" fontId="24" fillId="0" borderId="19" xfId="0" applyFont="1" applyBorder="1"/>
    <xf numFmtId="176" fontId="24" fillId="0" borderId="18" xfId="0" applyFont="1" applyBorder="1"/>
    <xf numFmtId="177" fontId="24" fillId="0" borderId="0" xfId="11" applyFont="1" applyBorder="1"/>
    <xf numFmtId="177" fontId="24" fillId="0" borderId="19" xfId="11" applyFont="1" applyBorder="1"/>
    <xf numFmtId="181" fontId="24" fillId="0" borderId="0" xfId="16" applyFont="1" applyBorder="1"/>
    <xf numFmtId="181" fontId="24" fillId="0" borderId="19" xfId="16" applyFont="1" applyBorder="1"/>
    <xf numFmtId="176" fontId="24" fillId="0" borderId="20" xfId="0" applyFont="1" applyBorder="1"/>
    <xf numFmtId="176" fontId="24" fillId="0" borderId="2" xfId="0" applyFont="1" applyBorder="1"/>
    <xf numFmtId="181" fontId="24" fillId="0" borderId="2" xfId="16" applyFont="1" applyBorder="1"/>
    <xf numFmtId="181" fontId="24" fillId="0" borderId="13" xfId="16" applyFont="1" applyBorder="1"/>
    <xf numFmtId="176" fontId="14" fillId="0" borderId="20" xfId="0" applyFont="1" applyBorder="1"/>
    <xf numFmtId="176" fontId="22" fillId="0" borderId="2" xfId="14" applyFont="1" applyBorder="1"/>
    <xf numFmtId="176" fontId="14" fillId="0" borderId="2" xfId="0" applyFont="1" applyBorder="1"/>
    <xf numFmtId="176" fontId="14" fillId="0" borderId="13" xfId="0" applyFont="1" applyBorder="1"/>
    <xf numFmtId="176" fontId="0" fillId="0" borderId="3" xfId="0" applyBorder="1"/>
    <xf numFmtId="182" fontId="0" fillId="0" borderId="0" xfId="0" applyNumberFormat="1"/>
    <xf numFmtId="176" fontId="0" fillId="0" borderId="0" xfId="0" applyFont="1" applyFill="1" applyProtection="1"/>
    <xf numFmtId="176" fontId="0" fillId="0" borderId="0" xfId="0" applyFont="1" applyProtection="1"/>
    <xf numFmtId="176" fontId="26" fillId="0" borderId="0" xfId="0" applyFont="1" applyFill="1" applyAlignment="1" applyProtection="1">
      <alignment horizontal="centerContinuous"/>
    </xf>
    <xf numFmtId="176" fontId="27" fillId="0" borderId="0" xfId="0" applyFont="1" applyFill="1" applyBorder="1" applyAlignment="1" applyProtection="1">
      <alignment horizontal="centerContinuous"/>
    </xf>
    <xf numFmtId="176" fontId="28" fillId="0" borderId="0" xfId="0" quotePrefix="1" applyFont="1" applyFill="1" applyProtection="1"/>
    <xf numFmtId="176" fontId="18" fillId="0" borderId="0" xfId="0" applyFont="1" applyFill="1" applyBorder="1" applyProtection="1"/>
    <xf numFmtId="173" fontId="18" fillId="0" borderId="0" xfId="0" quotePrefix="1" applyNumberFormat="1" applyFont="1" applyFill="1" applyBorder="1" applyAlignment="1" applyProtection="1">
      <alignment horizontal="right"/>
    </xf>
    <xf numFmtId="176" fontId="0" fillId="0" borderId="0" xfId="0" applyFont="1" applyBorder="1" applyProtection="1"/>
    <xf numFmtId="176" fontId="18" fillId="0" borderId="0" xfId="0" applyFont="1" applyBorder="1" applyProtection="1"/>
    <xf numFmtId="0" fontId="29" fillId="0" borderId="21" xfId="17" applyFont="1" applyBorder="1" applyAlignment="1">
      <alignment horizontal="left" vertical="center"/>
    </xf>
    <xf numFmtId="176" fontId="0" fillId="0" borderId="22" xfId="0" applyFont="1" applyBorder="1" applyProtection="1"/>
    <xf numFmtId="176" fontId="29" fillId="0" borderId="22" xfId="0" applyFont="1" applyBorder="1" applyProtection="1"/>
    <xf numFmtId="176" fontId="30" fillId="0" borderId="22" xfId="0" applyFont="1" applyBorder="1" applyProtection="1"/>
    <xf numFmtId="176" fontId="30" fillId="0" borderId="22" xfId="0" applyFont="1" applyFill="1" applyBorder="1" applyProtection="1"/>
    <xf numFmtId="183" fontId="29" fillId="0" borderId="22" xfId="0" applyNumberFormat="1" applyFont="1" applyFill="1" applyBorder="1" applyProtection="1"/>
    <xf numFmtId="0" fontId="29" fillId="0" borderId="23" xfId="17" applyFont="1" applyBorder="1" applyAlignment="1">
      <alignment horizontal="left" vertical="center"/>
    </xf>
    <xf numFmtId="176" fontId="29" fillId="0" borderId="0" xfId="0" applyFont="1" applyBorder="1" applyProtection="1"/>
    <xf numFmtId="176" fontId="30" fillId="0" borderId="0" xfId="0" applyFont="1" applyBorder="1" applyProtection="1"/>
    <xf numFmtId="183" fontId="29" fillId="0" borderId="0" xfId="0" applyNumberFormat="1" applyFont="1" applyFill="1" applyBorder="1" applyProtection="1"/>
    <xf numFmtId="0" fontId="29" fillId="0" borderId="24" xfId="17" applyFont="1" applyBorder="1" applyAlignment="1">
      <alignment horizontal="left" vertical="center"/>
    </xf>
    <xf numFmtId="176" fontId="0" fillId="0" borderId="25" xfId="0" applyFont="1" applyBorder="1" applyProtection="1"/>
    <xf numFmtId="176" fontId="29" fillId="0" borderId="25" xfId="0" applyFont="1" applyBorder="1" applyProtection="1"/>
    <xf numFmtId="176" fontId="30" fillId="0" borderId="25" xfId="0" applyFont="1" applyBorder="1" applyProtection="1"/>
    <xf numFmtId="183" fontId="29" fillId="0" borderId="25" xfId="0" applyNumberFormat="1" applyFont="1" applyFill="1" applyBorder="1" applyProtection="1"/>
    <xf numFmtId="176" fontId="14" fillId="0" borderId="0" xfId="0" applyFont="1" applyBorder="1" applyProtection="1"/>
    <xf numFmtId="176" fontId="14" fillId="0" borderId="0" xfId="0" applyFont="1" applyProtection="1"/>
    <xf numFmtId="169" fontId="31" fillId="0" borderId="0" xfId="1" applyNumberFormat="1" applyFont="1" applyFill="1" applyBorder="1" applyAlignment="1" applyProtection="1">
      <alignment horizontal="right"/>
      <protection locked="0"/>
    </xf>
    <xf numFmtId="169" fontId="32" fillId="0" borderId="0" xfId="1" applyNumberFormat="1" applyFont="1" applyFill="1" applyBorder="1" applyAlignment="1" applyProtection="1">
      <alignment horizontal="right"/>
      <protection locked="0"/>
    </xf>
    <xf numFmtId="176" fontId="0" fillId="0" borderId="0" xfId="0" quotePrefix="1" applyFont="1" applyBorder="1" applyAlignment="1" applyProtection="1">
      <alignment horizontal="left"/>
    </xf>
    <xf numFmtId="169" fontId="32" fillId="0" borderId="2" xfId="1" applyNumberFormat="1" applyFont="1" applyFill="1" applyBorder="1" applyAlignment="1" applyProtection="1">
      <alignment horizontal="right"/>
      <protection locked="0"/>
    </xf>
    <xf numFmtId="176" fontId="14" fillId="0" borderId="0" xfId="0" quotePrefix="1" applyFont="1" applyAlignment="1" applyProtection="1">
      <alignment horizontal="left"/>
    </xf>
    <xf numFmtId="169" fontId="14" fillId="0" borderId="0" xfId="1" applyNumberFormat="1" applyFont="1" applyFill="1" applyBorder="1" applyAlignment="1" applyProtection="1">
      <alignment horizontal="right"/>
    </xf>
    <xf numFmtId="169" fontId="14" fillId="0" borderId="0" xfId="1" applyNumberFormat="1" applyFont="1" applyFill="1" applyBorder="1" applyProtection="1"/>
    <xf numFmtId="169" fontId="32" fillId="0" borderId="2" xfId="1" applyNumberFormat="1" applyFont="1" applyFill="1" applyBorder="1" applyProtection="1">
      <protection locked="0"/>
    </xf>
    <xf numFmtId="169" fontId="32" fillId="0" borderId="0" xfId="1" applyNumberFormat="1" applyFont="1" applyFill="1" applyBorder="1" applyProtection="1">
      <protection locked="0"/>
    </xf>
    <xf numFmtId="176" fontId="0" fillId="0" borderId="0" xfId="0" applyFont="1" applyFill="1" applyAlignment="1" applyProtection="1">
      <alignment horizontal="left"/>
    </xf>
    <xf numFmtId="176" fontId="14" fillId="0" borderId="0" xfId="0" applyFont="1" applyAlignment="1" applyProtection="1">
      <alignment horizontal="left"/>
    </xf>
    <xf numFmtId="164" fontId="14" fillId="0" borderId="0" xfId="0" quotePrefix="1" applyNumberFormat="1" applyFont="1" applyBorder="1" applyAlignment="1" applyProtection="1">
      <alignment horizontal="left"/>
    </xf>
    <xf numFmtId="184" fontId="14" fillId="0" borderId="15" xfId="1" applyNumberFormat="1" applyFont="1" applyFill="1" applyBorder="1" applyAlignment="1" applyProtection="1">
      <alignment horizontal="right"/>
    </xf>
    <xf numFmtId="184" fontId="14" fillId="0" borderId="0" xfId="1" applyNumberFormat="1" applyFont="1" applyFill="1" applyBorder="1" applyAlignment="1" applyProtection="1">
      <alignment horizontal="right"/>
    </xf>
    <xf numFmtId="164" fontId="0" fillId="0" borderId="0" xfId="0" quotePrefix="1" applyNumberFormat="1" applyFont="1" applyBorder="1" applyAlignment="1" applyProtection="1">
      <alignment horizontal="left"/>
    </xf>
    <xf numFmtId="184" fontId="14" fillId="0" borderId="7" xfId="1" applyNumberFormat="1" applyFont="1" applyFill="1" applyBorder="1" applyAlignment="1" applyProtection="1">
      <alignment horizontal="right"/>
    </xf>
    <xf numFmtId="176" fontId="14" fillId="0" borderId="0" xfId="0" applyFont="1" applyFill="1" applyProtection="1"/>
    <xf numFmtId="168" fontId="18" fillId="0" borderId="0" xfId="0" applyNumberFormat="1" applyFont="1" applyFill="1" applyAlignment="1" applyProtection="1">
      <alignment horizontal="right"/>
    </xf>
    <xf numFmtId="37" fontId="0" fillId="0" borderId="0" xfId="1" applyNumberFormat="1" applyFont="1" applyProtection="1"/>
    <xf numFmtId="169" fontId="33" fillId="0" borderId="0" xfId="1" applyNumberFormat="1" applyFont="1" applyFill="1" applyProtection="1">
      <protection locked="0"/>
    </xf>
    <xf numFmtId="37" fontId="32" fillId="0" borderId="0" xfId="1" applyNumberFormat="1" applyFont="1" applyBorder="1" applyProtection="1"/>
    <xf numFmtId="169" fontId="33" fillId="0" borderId="2" xfId="1" applyNumberFormat="1" applyFont="1" applyFill="1" applyBorder="1" applyAlignment="1" applyProtection="1">
      <alignment horizontal="right"/>
      <protection locked="0"/>
    </xf>
    <xf numFmtId="37" fontId="14" fillId="0" borderId="0" xfId="1" applyNumberFormat="1" applyFont="1" applyBorder="1" applyProtection="1"/>
    <xf numFmtId="169" fontId="14" fillId="0" borderId="0" xfId="1" applyNumberFormat="1" applyFont="1" applyFill="1" applyProtection="1">
      <protection locked="0"/>
    </xf>
    <xf numFmtId="176" fontId="0" fillId="0" borderId="0" xfId="0" quotePrefix="1" applyFont="1" applyAlignment="1" applyProtection="1">
      <alignment horizontal="left"/>
    </xf>
    <xf numFmtId="169" fontId="32" fillId="0" borderId="0" xfId="1" applyNumberFormat="1" applyFont="1" applyFill="1" applyProtection="1">
      <protection locked="0"/>
    </xf>
    <xf numFmtId="37" fontId="0" fillId="0" borderId="0" xfId="1" applyNumberFormat="1" applyFont="1" applyBorder="1" applyProtection="1"/>
    <xf numFmtId="37" fontId="0" fillId="0" borderId="0" xfId="1" applyNumberFormat="1" applyFont="1" applyFill="1" applyBorder="1" applyProtection="1"/>
    <xf numFmtId="177" fontId="0" fillId="0" borderId="0" xfId="11" applyFont="1" applyFill="1" applyBorder="1" applyProtection="1"/>
    <xf numFmtId="176" fontId="0" fillId="0" borderId="0" xfId="0" applyFont="1" applyAlignment="1" applyProtection="1">
      <alignment horizontal="left"/>
    </xf>
    <xf numFmtId="169" fontId="0" fillId="0" borderId="0" xfId="1" applyNumberFormat="1" applyFont="1" applyFill="1" applyProtection="1"/>
    <xf numFmtId="169" fontId="0" fillId="0" borderId="2" xfId="1" applyNumberFormat="1" applyFont="1" applyFill="1" applyBorder="1" applyProtection="1"/>
    <xf numFmtId="169" fontId="14" fillId="0" borderId="0" xfId="1" applyNumberFormat="1" applyFont="1" applyFill="1" applyProtection="1"/>
    <xf numFmtId="176" fontId="34" fillId="0" borderId="0" xfId="0" applyFont="1" applyFill="1" applyBorder="1" applyAlignment="1" applyProtection="1">
      <alignment horizontal="centerContinuous"/>
    </xf>
    <xf numFmtId="176" fontId="28" fillId="0" borderId="0" xfId="0" applyFont="1" applyFill="1" applyAlignment="1" applyProtection="1">
      <alignment horizontal="left"/>
    </xf>
    <xf numFmtId="174" fontId="0" fillId="0" borderId="0" xfId="0" applyNumberFormat="1" applyFont="1" applyBorder="1" applyProtection="1"/>
    <xf numFmtId="37" fontId="0" fillId="0" borderId="0" xfId="1" applyNumberFormat="1" applyFont="1" applyFill="1" applyProtection="1"/>
    <xf numFmtId="169" fontId="0" fillId="0" borderId="4" xfId="1" applyNumberFormat="1" applyFont="1" applyFill="1" applyBorder="1" applyProtection="1"/>
    <xf numFmtId="184" fontId="14" fillId="0" borderId="3" xfId="1" applyNumberFormat="1" applyFont="1" applyFill="1" applyBorder="1" applyProtection="1"/>
    <xf numFmtId="169" fontId="33" fillId="0" borderId="0" xfId="1" applyNumberFormat="1" applyFont="1" applyFill="1" applyBorder="1" applyProtection="1">
      <protection locked="0"/>
    </xf>
    <xf numFmtId="169" fontId="0" fillId="0" borderId="0" xfId="1" applyNumberFormat="1" applyFont="1" applyFill="1" applyBorder="1" applyProtection="1"/>
    <xf numFmtId="170" fontId="35" fillId="0" borderId="0" xfId="1" applyNumberFormat="1" applyFont="1" applyBorder="1" applyProtection="1"/>
    <xf numFmtId="10" fontId="19" fillId="3" borderId="5" xfId="13" applyNumberFormat="1">
      <protection locked="0"/>
    </xf>
    <xf numFmtId="176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76" fontId="0" fillId="0" borderId="0" xfId="0" applyAlignment="1">
      <alignment vertical="center"/>
    </xf>
    <xf numFmtId="176" fontId="0" fillId="0" borderId="2" xfId="3" applyNumberFormat="1" applyFont="1"/>
    <xf numFmtId="185" fontId="2" fillId="0" borderId="0" xfId="0" applyNumberFormat="1" applyFont="1" applyBorder="1" applyProtection="1"/>
    <xf numFmtId="186" fontId="0" fillId="0" borderId="0" xfId="0" applyNumberFormat="1"/>
    <xf numFmtId="10" fontId="0" fillId="0" borderId="14" xfId="15" applyNumberFormat="1" applyFont="1"/>
    <xf numFmtId="176" fontId="21" fillId="0" borderId="0" xfId="14" applyAlignment="1">
      <alignment horizontal="left"/>
    </xf>
    <xf numFmtId="175" fontId="21" fillId="0" borderId="0" xfId="14" applyNumberFormat="1" applyAlignment="1">
      <alignment horizontal="left"/>
    </xf>
    <xf numFmtId="176" fontId="21" fillId="0" borderId="0" xfId="14" applyAlignment="1">
      <alignment wrapText="1"/>
    </xf>
    <xf numFmtId="10" fontId="0" fillId="0" borderId="0" xfId="0" applyNumberFormat="1"/>
    <xf numFmtId="10" fontId="14" fillId="0" borderId="0" xfId="11" applyNumberFormat="1" applyFont="1"/>
    <xf numFmtId="176" fontId="16" fillId="0" borderId="8" xfId="0" applyFont="1" applyBorder="1" applyAlignment="1">
      <alignment horizontal="center"/>
    </xf>
    <xf numFmtId="176" fontId="16" fillId="0" borderId="9" xfId="0" applyFont="1" applyBorder="1" applyAlignment="1">
      <alignment horizontal="center"/>
    </xf>
  </cellXfs>
  <cellStyles count="18">
    <cellStyle name="Across" xfId="2" xr:uid="{00000000-0005-0000-0000-000000000000}"/>
    <cellStyle name="Banner" xfId="12" xr:uid="{9A61CD71-8D8D-483C-AA68-6EC4F81DC1BF}"/>
    <cellStyle name="Bottom" xfId="3" xr:uid="{00000000-0005-0000-0000-000001000000}"/>
    <cellStyle name="Center" xfId="4" xr:uid="{00000000-0005-0000-0000-000002000000}"/>
    <cellStyle name="Comma" xfId="1" builtinId="3"/>
    <cellStyle name="Currency [2]" xfId="5" xr:uid="{00000000-0005-0000-0000-000004000000}"/>
    <cellStyle name="Double" xfId="6" xr:uid="{00000000-0005-0000-0000-000005000000}"/>
    <cellStyle name="Inp" xfId="13" xr:uid="{A3B706F9-7AB5-48AA-935A-9027829630FB}"/>
    <cellStyle name="Linked" xfId="15" xr:uid="{A08EE38E-C955-44B2-A435-EFE6B34B05C6}"/>
    <cellStyle name="Multiples" xfId="16" xr:uid="{896ED714-8DC9-48B3-B6BD-FEE4B055DCFD}"/>
    <cellStyle name="Normal" xfId="0" builtinId="0" customBuiltin="1"/>
    <cellStyle name="Normal_TrainingDCF1" xfId="17" xr:uid="{8C74CB6D-AF26-4C7F-8E35-5574D8A7BE93}"/>
    <cellStyle name="Numbers" xfId="7" xr:uid="{00000000-0005-0000-0000-000007000000}"/>
    <cellStyle name="Numbers - Bold - Italic" xfId="8" xr:uid="{00000000-0005-0000-0000-000008000000}"/>
    <cellStyle name="Outline" xfId="9" xr:uid="{00000000-0005-0000-0000-000009000000}"/>
    <cellStyle name="Percent" xfId="11" builtinId="5" customBuiltin="1"/>
    <cellStyle name="Percent 2" xfId="10" xr:uid="{00000000-0005-0000-0000-00000B000000}"/>
    <cellStyle name="Units" xfId="14" xr:uid="{F425C19E-C161-40D6-94DE-80A7307555EA}"/>
  </cellStyles>
  <dxfs count="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1" fmlaLink="S_Scenarios" fmlaRange="L_Scenarios" noThreeD="1" sel="3" val="0"/>
</file>

<file path=xl/ctrlProps/ctrlProp2.xml><?xml version="1.0" encoding="utf-8"?>
<formControlPr xmlns="http://schemas.microsoft.com/office/spreadsheetml/2009/9/main" objectType="Drop" dropStyle="combo" dx="31" fmlaLink="S_Scenarios" fmlaRange="L_Scenarios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599846</xdr:colOff>
          <xdr:row>65</xdr:row>
          <xdr:rowOff>117043</xdr:rowOff>
        </xdr:from>
        <xdr:to>
          <xdr:col>16</xdr:col>
          <xdr:colOff>7315</xdr:colOff>
          <xdr:row>66</xdr:row>
          <xdr:rowOff>138989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6</xdr:col>
          <xdr:colOff>0</xdr:colOff>
          <xdr:row>11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3235-57FC-4B6C-9B56-8DA8582952FA}">
  <sheetPr codeName="Sheet1">
    <pageSetUpPr fitToPage="1"/>
  </sheetPr>
  <dimension ref="C7:D21"/>
  <sheetViews>
    <sheetView showGridLines="0" tabSelected="1" workbookViewId="0"/>
  </sheetViews>
  <sheetFormatPr defaultRowHeight="12.7"/>
  <cols>
    <col min="3" max="3" width="18.88671875" customWidth="1"/>
  </cols>
  <sheetData>
    <row r="7" spans="3:4" ht="22.5">
      <c r="C7" s="28" t="s">
        <v>235</v>
      </c>
    </row>
    <row r="8" spans="3:4">
      <c r="C8" t="str">
        <f>"Financial Model for "&amp;$D$14+1&amp;" to "&amp;$D$14+5</f>
        <v>Financial Model for 2021 to 2025</v>
      </c>
    </row>
    <row r="11" spans="3:4">
      <c r="C11" t="s">
        <v>48</v>
      </c>
      <c r="D11" s="180" t="s">
        <v>270</v>
      </c>
    </row>
    <row r="12" spans="3:4">
      <c r="C12" t="s">
        <v>49</v>
      </c>
      <c r="D12" s="180" t="s">
        <v>50</v>
      </c>
    </row>
    <row r="13" spans="3:4">
      <c r="C13" t="s">
        <v>154</v>
      </c>
      <c r="D13" s="180" t="s">
        <v>234</v>
      </c>
    </row>
    <row r="14" spans="3:4">
      <c r="C14" t="s">
        <v>208</v>
      </c>
      <c r="D14" s="181">
        <f>Hist!I7</f>
        <v>2020</v>
      </c>
    </row>
    <row r="21" spans="3:3">
      <c r="C21" s="29"/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ABBD-41E7-485A-B522-D4D32ED1F9DB}">
  <sheetPr>
    <pageSetUpPr fitToPage="1"/>
  </sheetPr>
  <dimension ref="A1:I125"/>
  <sheetViews>
    <sheetView showGridLines="0" zoomScale="190" zoomScaleNormal="190" workbookViewId="0"/>
  </sheetViews>
  <sheetFormatPr defaultRowHeight="12.7"/>
  <cols>
    <col min="1" max="1" width="2.5546875" style="1" customWidth="1"/>
    <col min="2" max="2" width="1.88671875" style="1" customWidth="1"/>
    <col min="3" max="3" width="2.44140625" style="1" customWidth="1"/>
    <col min="4" max="4" width="40.109375" style="1" customWidth="1"/>
    <col min="5" max="5" width="5.33203125" style="1" customWidth="1"/>
    <col min="6" max="6" width="1.88671875" style="1" customWidth="1"/>
    <col min="7" max="9" width="12.5546875" style="1" customWidth="1"/>
  </cols>
  <sheetData>
    <row r="1" spans="1:9">
      <c r="G1" s="2"/>
      <c r="H1" s="2"/>
      <c r="I1" s="2"/>
    </row>
    <row r="2" spans="1:9" ht="22.5">
      <c r="A2" s="3"/>
      <c r="B2" s="113" t="s">
        <v>235</v>
      </c>
      <c r="C2" s="4"/>
      <c r="D2" s="4"/>
      <c r="E2" s="4"/>
      <c r="F2" s="4"/>
      <c r="G2" s="4"/>
      <c r="H2" s="4"/>
      <c r="I2" s="4"/>
    </row>
    <row r="3" spans="1:9" ht="17.850000000000001">
      <c r="A3" s="5"/>
      <c r="B3" s="114" t="s">
        <v>0</v>
      </c>
      <c r="C3" s="6"/>
      <c r="D3" s="6"/>
      <c r="E3" s="6"/>
      <c r="F3" s="6"/>
      <c r="G3" s="6"/>
      <c r="H3" s="6"/>
      <c r="I3" s="6"/>
    </row>
    <row r="4" spans="1:9" ht="17.850000000000001" thickBot="1">
      <c r="A4" s="5"/>
      <c r="B4" s="7"/>
      <c r="C4" s="7"/>
      <c r="D4" s="7"/>
      <c r="E4" s="7"/>
      <c r="F4" s="7"/>
      <c r="G4" s="7"/>
      <c r="H4" s="7"/>
      <c r="I4" s="7"/>
    </row>
    <row r="5" spans="1:9">
      <c r="B5" s="8" t="s">
        <v>47</v>
      </c>
    </row>
    <row r="6" spans="1:9">
      <c r="F6" s="9"/>
    </row>
    <row r="7" spans="1:9">
      <c r="F7" s="10"/>
      <c r="G7" s="11">
        <v>2018</v>
      </c>
      <c r="H7" s="11">
        <v>2019</v>
      </c>
      <c r="I7" s="11">
        <v>2020</v>
      </c>
    </row>
    <row r="8" spans="1:9">
      <c r="B8" s="12"/>
      <c r="C8" s="12"/>
      <c r="D8" s="12"/>
      <c r="E8" s="12"/>
      <c r="F8" s="10"/>
      <c r="G8" s="10"/>
      <c r="H8" s="10"/>
      <c r="I8" s="10"/>
    </row>
    <row r="9" spans="1:9">
      <c r="B9" s="120" t="s">
        <v>199</v>
      </c>
      <c r="C9" s="121"/>
      <c r="D9" s="122"/>
      <c r="E9" s="122"/>
      <c r="F9" s="123"/>
      <c r="G9" s="124"/>
      <c r="H9" s="125">
        <f>H13/G13-1</f>
        <v>0.10350333427256508</v>
      </c>
      <c r="I9" s="125">
        <f>I13/H13-1</f>
        <v>8.6390331092007777E-2</v>
      </c>
    </row>
    <row r="10" spans="1:9">
      <c r="B10" s="126" t="s">
        <v>200</v>
      </c>
      <c r="C10" s="118"/>
      <c r="D10" s="127"/>
      <c r="E10" s="127"/>
      <c r="F10" s="128"/>
      <c r="G10" s="129">
        <f>G15/G13</f>
        <v>0.71735387120002514</v>
      </c>
      <c r="H10" s="129">
        <f t="shared" ref="H10:I10" si="0">H15/H13</f>
        <v>0.72797684909353999</v>
      </c>
      <c r="I10" s="129">
        <f t="shared" si="0"/>
        <v>0.72829833907865882</v>
      </c>
    </row>
    <row r="11" spans="1:9">
      <c r="B11" s="130" t="s">
        <v>201</v>
      </c>
      <c r="C11" s="131"/>
      <c r="D11" s="132"/>
      <c r="E11" s="132"/>
      <c r="F11" s="133"/>
      <c r="G11" s="134">
        <f>G16/G13</f>
        <v>0.1626123164584703</v>
      </c>
      <c r="H11" s="134">
        <f t="shared" ref="H11:I11" si="1">H16/H13</f>
        <v>0.15453797486310894</v>
      </c>
      <c r="I11" s="134">
        <f t="shared" si="1"/>
        <v>0.1496134962916536</v>
      </c>
    </row>
    <row r="12" spans="1:9">
      <c r="B12" s="12"/>
      <c r="C12" s="12"/>
      <c r="D12" s="12"/>
      <c r="E12" s="12"/>
      <c r="F12" s="10"/>
      <c r="G12" s="10"/>
      <c r="H12" s="10"/>
      <c r="I12" s="10"/>
    </row>
    <row r="13" spans="1:9">
      <c r="B13" s="13"/>
      <c r="C13" s="135" t="s">
        <v>116</v>
      </c>
      <c r="D13" s="136"/>
      <c r="E13" s="136"/>
      <c r="F13" s="119"/>
      <c r="G13" s="137">
        <v>3194.1</v>
      </c>
      <c r="H13" s="137">
        <v>3524.7</v>
      </c>
      <c r="I13" s="137">
        <v>3829.2</v>
      </c>
    </row>
    <row r="14" spans="1:9">
      <c r="B14" s="12"/>
      <c r="C14" s="118"/>
      <c r="D14" s="118"/>
      <c r="E14" s="118"/>
      <c r="F14" s="119"/>
      <c r="G14" s="116"/>
      <c r="H14" s="116"/>
      <c r="I14" s="116"/>
    </row>
    <row r="15" spans="1:9">
      <c r="B15" s="12"/>
      <c r="C15" s="118" t="s">
        <v>1</v>
      </c>
      <c r="D15" s="118"/>
      <c r="E15" s="118"/>
      <c r="F15" s="119"/>
      <c r="G15" s="138">
        <v>2291.3000000000002</v>
      </c>
      <c r="H15" s="138">
        <v>2565.9</v>
      </c>
      <c r="I15" s="138">
        <v>2788.8</v>
      </c>
    </row>
    <row r="16" spans="1:9">
      <c r="A16" s="15"/>
      <c r="B16" s="12"/>
      <c r="C16" s="139" t="s">
        <v>2</v>
      </c>
      <c r="D16" s="118"/>
      <c r="E16" s="118"/>
      <c r="F16" s="119"/>
      <c r="G16" s="140">
        <v>519.4</v>
      </c>
      <c r="H16" s="140">
        <v>544.70000000000005</v>
      </c>
      <c r="I16" s="140">
        <v>572.9</v>
      </c>
    </row>
    <row r="17" spans="2:9">
      <c r="B17" s="12"/>
      <c r="C17" s="141" t="s">
        <v>3</v>
      </c>
      <c r="D17" s="118"/>
      <c r="E17" s="118"/>
      <c r="F17" s="119"/>
      <c r="G17" s="142">
        <f>SUM(G15:G16)</f>
        <v>2810.7000000000003</v>
      </c>
      <c r="H17" s="142">
        <f t="shared" ref="H17:I17" si="2">SUM(H15:H16)</f>
        <v>3110.6000000000004</v>
      </c>
      <c r="I17" s="142">
        <f t="shared" si="2"/>
        <v>3361.7000000000003</v>
      </c>
    </row>
    <row r="18" spans="2:9">
      <c r="B18" s="12"/>
      <c r="C18" s="141"/>
      <c r="D18" s="118"/>
      <c r="E18" s="118"/>
      <c r="F18" s="119"/>
      <c r="G18" s="116"/>
      <c r="H18" s="116"/>
      <c r="I18" s="116"/>
    </row>
    <row r="19" spans="2:9">
      <c r="B19" s="12"/>
      <c r="C19" s="112" t="s">
        <v>266</v>
      </c>
      <c r="D19" s="118"/>
      <c r="E19" s="118"/>
      <c r="F19" s="119"/>
      <c r="G19" s="140">
        <v>-7</v>
      </c>
      <c r="H19" s="140">
        <v>-4.1999999999999993</v>
      </c>
      <c r="I19" s="140">
        <v>76</v>
      </c>
    </row>
    <row r="20" spans="2:9">
      <c r="B20" s="14"/>
      <c r="C20" s="136" t="s">
        <v>4</v>
      </c>
      <c r="D20" s="112"/>
      <c r="E20" s="112"/>
      <c r="F20" s="112"/>
      <c r="G20" s="143">
        <f>G13-G17-G19</f>
        <v>390.39999999999964</v>
      </c>
      <c r="H20" s="143">
        <f t="shared" ref="H20:I20" si="3">H13-H17-H19</f>
        <v>418.29999999999944</v>
      </c>
      <c r="I20" s="143">
        <f t="shared" si="3"/>
        <v>391.49999999999955</v>
      </c>
    </row>
    <row r="21" spans="2:9">
      <c r="C21" s="112"/>
      <c r="D21" s="112"/>
      <c r="E21" s="112"/>
      <c r="F21" s="112"/>
      <c r="G21" s="111"/>
      <c r="H21" s="111"/>
      <c r="I21" s="111"/>
    </row>
    <row r="22" spans="2:9">
      <c r="C22" s="112" t="s">
        <v>246</v>
      </c>
      <c r="D22" s="112"/>
      <c r="E22" s="112"/>
      <c r="F22" s="112"/>
      <c r="G22" s="144">
        <v>95.1</v>
      </c>
      <c r="H22" s="144">
        <v>113.2</v>
      </c>
      <c r="I22" s="144">
        <v>126.2</v>
      </c>
    </row>
    <row r="23" spans="2:9">
      <c r="C23" s="141" t="s">
        <v>6</v>
      </c>
      <c r="D23" s="112"/>
      <c r="E23" s="112"/>
      <c r="F23" s="112"/>
      <c r="G23" s="143">
        <f>G20-G22</f>
        <v>295.29999999999961</v>
      </c>
      <c r="H23" s="143">
        <f t="shared" ref="H23:I23" si="4">H20-H22</f>
        <v>305.09999999999945</v>
      </c>
      <c r="I23" s="143">
        <f t="shared" si="4"/>
        <v>265.29999999999956</v>
      </c>
    </row>
    <row r="24" spans="2:9">
      <c r="C24" s="141"/>
      <c r="D24" s="112"/>
      <c r="E24" s="112"/>
      <c r="F24" s="112"/>
      <c r="G24" s="111"/>
      <c r="H24" s="111"/>
      <c r="I24" s="111"/>
    </row>
    <row r="25" spans="2:9">
      <c r="C25" s="112" t="s">
        <v>266</v>
      </c>
      <c r="D25" s="112"/>
      <c r="E25" s="112"/>
      <c r="F25" s="112"/>
      <c r="G25" s="145">
        <v>116</v>
      </c>
      <c r="H25" s="145">
        <v>123.9</v>
      </c>
      <c r="I25" s="145">
        <v>105.8</v>
      </c>
    </row>
    <row r="26" spans="2:9">
      <c r="C26" s="146" t="s">
        <v>155</v>
      </c>
      <c r="D26" s="111"/>
      <c r="E26" s="111"/>
      <c r="F26" s="111"/>
      <c r="G26" s="144">
        <v>62</v>
      </c>
      <c r="H26" s="144">
        <v>56.599999999999994</v>
      </c>
      <c r="I26" s="144">
        <v>59.1</v>
      </c>
    </row>
    <row r="27" spans="2:9">
      <c r="C27" s="147" t="s">
        <v>7</v>
      </c>
      <c r="D27" s="112"/>
      <c r="E27" s="112"/>
      <c r="F27" s="112"/>
      <c r="G27" s="143">
        <f>G23-G25-G26</f>
        <v>117.29999999999961</v>
      </c>
      <c r="H27" s="143">
        <f t="shared" ref="H27:I27" si="5">H23-H25-H26</f>
        <v>124.59999999999945</v>
      </c>
      <c r="I27" s="143">
        <f t="shared" si="5"/>
        <v>100.39999999999955</v>
      </c>
    </row>
    <row r="28" spans="2:9">
      <c r="C28" s="141"/>
      <c r="D28" s="112"/>
      <c r="E28" s="112"/>
      <c r="F28" s="112"/>
      <c r="G28" s="111"/>
      <c r="H28" s="111"/>
      <c r="I28" s="111"/>
    </row>
    <row r="29" spans="2:9">
      <c r="C29" s="111" t="s">
        <v>8</v>
      </c>
      <c r="D29" s="111"/>
      <c r="E29" s="111"/>
      <c r="F29" s="112"/>
      <c r="G29" s="145">
        <v>40.5</v>
      </c>
      <c r="H29" s="145">
        <v>22.7</v>
      </c>
      <c r="I29" s="145">
        <v>24.8</v>
      </c>
    </row>
    <row r="30" spans="2:9">
      <c r="C30" s="112" t="s">
        <v>9</v>
      </c>
      <c r="D30" s="112"/>
      <c r="E30" s="112"/>
      <c r="F30" s="112"/>
      <c r="G30" s="144">
        <v>16.899999999999999</v>
      </c>
      <c r="H30" s="144">
        <v>31.7</v>
      </c>
      <c r="I30" s="144">
        <v>23.999999999999996</v>
      </c>
    </row>
    <row r="31" spans="2:9">
      <c r="C31" s="136" t="s">
        <v>10</v>
      </c>
      <c r="D31" s="112"/>
      <c r="E31" s="112"/>
      <c r="F31" s="112"/>
      <c r="G31" s="143">
        <f>SUM(G29:G30)</f>
        <v>57.4</v>
      </c>
      <c r="H31" s="143">
        <f t="shared" ref="H31:I31" si="6">SUM(H29:H30)</f>
        <v>54.4</v>
      </c>
      <c r="I31" s="143">
        <f t="shared" si="6"/>
        <v>48.8</v>
      </c>
    </row>
    <row r="32" spans="2:9">
      <c r="C32" s="112"/>
      <c r="D32" s="112"/>
      <c r="E32" s="112"/>
      <c r="F32" s="112"/>
      <c r="G32" s="111"/>
      <c r="H32" s="111"/>
      <c r="I32" s="111"/>
    </row>
    <row r="33" spans="2:9">
      <c r="B33" s="12"/>
      <c r="C33" s="148" t="s">
        <v>11</v>
      </c>
      <c r="D33" s="135"/>
      <c r="E33" s="135"/>
      <c r="F33" s="118"/>
      <c r="G33" s="149">
        <f>G27-G31</f>
        <v>59.899999999999615</v>
      </c>
      <c r="H33" s="149">
        <f t="shared" ref="H33:I33" si="7">H27-H31</f>
        <v>70.199999999999449</v>
      </c>
      <c r="I33" s="149">
        <f t="shared" si="7"/>
        <v>51.599999999999554</v>
      </c>
    </row>
    <row r="34" spans="2:9">
      <c r="C34" s="148"/>
      <c r="D34" s="135"/>
      <c r="E34" s="135"/>
      <c r="F34" s="118"/>
      <c r="G34" s="150"/>
      <c r="H34" s="150"/>
      <c r="I34" s="150"/>
    </row>
    <row r="35" spans="2:9">
      <c r="C35" s="151" t="s">
        <v>202</v>
      </c>
      <c r="D35" s="135"/>
      <c r="E35" s="135"/>
      <c r="F35" s="118"/>
      <c r="G35" s="144">
        <v>0.54400000000000004</v>
      </c>
      <c r="H35" s="144">
        <v>0.54400000000000004</v>
      </c>
      <c r="I35" s="144">
        <v>0.54400000000000004</v>
      </c>
    </row>
    <row r="36" spans="2:9" ht="13.25" thickBot="1">
      <c r="C36" s="148" t="s">
        <v>12</v>
      </c>
      <c r="D36" s="135"/>
      <c r="E36" s="135"/>
      <c r="F36" s="118"/>
      <c r="G36" s="152">
        <f>G33-G35</f>
        <v>59.355999999999618</v>
      </c>
      <c r="H36" s="152">
        <f t="shared" ref="H36:I36" si="8">H33-H35</f>
        <v>69.655999999999452</v>
      </c>
      <c r="I36" s="152">
        <f t="shared" si="8"/>
        <v>51.055999999999557</v>
      </c>
    </row>
    <row r="37" spans="2:9" ht="13.25" thickTop="1"/>
    <row r="39" spans="2:9">
      <c r="B39" s="14"/>
      <c r="G39" s="2"/>
      <c r="H39" s="2"/>
      <c r="I39" s="2"/>
    </row>
    <row r="40" spans="2:9">
      <c r="B40" s="14"/>
      <c r="G40" s="2"/>
      <c r="H40" s="2"/>
      <c r="I40" s="2"/>
    </row>
    <row r="41" spans="2:9" ht="22.5">
      <c r="B41" s="113" t="s">
        <v>235</v>
      </c>
      <c r="C41" s="18"/>
      <c r="D41" s="18"/>
      <c r="E41" s="18"/>
      <c r="F41" s="18"/>
      <c r="G41" s="18"/>
      <c r="H41" s="18"/>
      <c r="I41" s="18"/>
    </row>
    <row r="42" spans="2:9" ht="17.850000000000001">
      <c r="B42" s="114" t="s">
        <v>13</v>
      </c>
      <c r="C42" s="19"/>
      <c r="D42" s="19"/>
      <c r="E42" s="19"/>
      <c r="F42" s="19"/>
      <c r="G42" s="19"/>
      <c r="H42" s="19"/>
      <c r="I42" s="19"/>
    </row>
    <row r="43" spans="2:9" ht="17.850000000000001" thickBot="1">
      <c r="B43" s="7"/>
      <c r="C43" s="20"/>
      <c r="D43" s="20"/>
      <c r="E43" s="20"/>
      <c r="F43" s="20"/>
      <c r="G43" s="20"/>
      <c r="H43" s="20"/>
      <c r="I43" s="20"/>
    </row>
    <row r="44" spans="2:9">
      <c r="B44" s="115" t="s">
        <v>47</v>
      </c>
    </row>
    <row r="46" spans="2:9">
      <c r="B46" s="21"/>
      <c r="F46" s="22"/>
      <c r="G46" s="117">
        <v>2018</v>
      </c>
      <c r="H46" s="117">
        <v>2019</v>
      </c>
      <c r="I46" s="117">
        <v>2020</v>
      </c>
    </row>
    <row r="47" spans="2:9">
      <c r="B47" s="21"/>
      <c r="F47" s="22"/>
      <c r="G47" s="11"/>
      <c r="H47" s="11"/>
      <c r="I47" s="11"/>
    </row>
    <row r="48" spans="2:9">
      <c r="B48" s="136" t="s">
        <v>14</v>
      </c>
      <c r="C48" s="112"/>
      <c r="D48" s="112"/>
      <c r="E48" s="112"/>
      <c r="F48" s="112"/>
      <c r="G48" s="112"/>
      <c r="H48" s="112"/>
      <c r="I48" s="112"/>
    </row>
    <row r="49" spans="1:9">
      <c r="B49" s="112"/>
      <c r="C49" s="112" t="s">
        <v>11</v>
      </c>
      <c r="D49" s="112"/>
      <c r="E49" s="112"/>
      <c r="F49" s="155"/>
      <c r="G49" s="156">
        <v>59.9</v>
      </c>
      <c r="H49" s="156">
        <v>70.2</v>
      </c>
      <c r="I49" s="156">
        <v>51.6</v>
      </c>
    </row>
    <row r="50" spans="1:9">
      <c r="B50" s="112"/>
      <c r="C50" s="112" t="s">
        <v>5</v>
      </c>
      <c r="D50" s="112"/>
      <c r="E50" s="112"/>
      <c r="F50" s="155"/>
      <c r="G50" s="156">
        <v>95.1</v>
      </c>
      <c r="H50" s="156">
        <v>113.2</v>
      </c>
      <c r="I50" s="156">
        <v>126.2</v>
      </c>
    </row>
    <row r="51" spans="1:9">
      <c r="B51" s="112"/>
      <c r="C51" s="112" t="s">
        <v>9</v>
      </c>
      <c r="D51" s="112"/>
      <c r="E51" s="112"/>
      <c r="F51" s="155"/>
      <c r="G51" s="156">
        <v>16.899999999999999</v>
      </c>
      <c r="H51" s="156">
        <v>31.7</v>
      </c>
      <c r="I51" s="156">
        <v>24</v>
      </c>
    </row>
    <row r="52" spans="1:9">
      <c r="B52" s="112"/>
      <c r="C52" s="112" t="s">
        <v>15</v>
      </c>
      <c r="D52" s="112"/>
      <c r="E52" s="112"/>
      <c r="F52" s="157"/>
      <c r="G52" s="156">
        <v>-119</v>
      </c>
      <c r="H52" s="156">
        <v>-4.5</v>
      </c>
      <c r="I52" s="156">
        <v>-83.800000000000011</v>
      </c>
    </row>
    <row r="53" spans="1:9">
      <c r="B53" s="112"/>
      <c r="C53" s="112" t="s">
        <v>27</v>
      </c>
      <c r="D53" s="112"/>
      <c r="E53" s="112"/>
      <c r="F53" s="157"/>
      <c r="G53" s="158">
        <v>161.9</v>
      </c>
      <c r="H53" s="158">
        <v>164.2</v>
      </c>
      <c r="I53" s="140">
        <v>242.10000000000002</v>
      </c>
    </row>
    <row r="54" spans="1:9">
      <c r="B54" s="112"/>
      <c r="C54" s="141" t="s">
        <v>16</v>
      </c>
      <c r="D54" s="112"/>
      <c r="E54" s="112"/>
      <c r="F54" s="159"/>
      <c r="G54" s="160">
        <f>SUM(G49:G53)</f>
        <v>214.8</v>
      </c>
      <c r="H54" s="160">
        <f t="shared" ref="H54:I54" si="9">SUM(H49:H53)</f>
        <v>374.79999999999995</v>
      </c>
      <c r="I54" s="160">
        <f t="shared" si="9"/>
        <v>360.1</v>
      </c>
    </row>
    <row r="55" spans="1:9">
      <c r="B55" s="161"/>
      <c r="C55" s="112"/>
      <c r="D55" s="112"/>
      <c r="E55" s="112"/>
      <c r="F55" s="112"/>
      <c r="G55" s="112"/>
      <c r="H55" s="112"/>
      <c r="I55" s="112"/>
    </row>
    <row r="56" spans="1:9">
      <c r="B56" s="161"/>
      <c r="C56" s="112"/>
      <c r="D56" s="112"/>
      <c r="E56" s="112"/>
      <c r="F56" s="112"/>
      <c r="G56" s="111"/>
      <c r="H56" s="111"/>
      <c r="I56" s="111"/>
    </row>
    <row r="57" spans="1:9">
      <c r="B57" s="136" t="s">
        <v>17</v>
      </c>
      <c r="C57" s="111"/>
      <c r="D57" s="111"/>
      <c r="E57" s="111"/>
      <c r="F57" s="112"/>
      <c r="G57" s="111"/>
      <c r="H57" s="111"/>
      <c r="I57" s="111"/>
    </row>
    <row r="58" spans="1:9">
      <c r="B58" s="112"/>
      <c r="C58" s="112" t="s">
        <v>18</v>
      </c>
      <c r="D58" s="112"/>
      <c r="E58" s="112"/>
      <c r="F58" s="112"/>
      <c r="G58" s="162">
        <v>-134.4</v>
      </c>
      <c r="H58" s="162">
        <v>-158.69999999999999</v>
      </c>
      <c r="I58" s="162">
        <v>-194.1</v>
      </c>
    </row>
    <row r="59" spans="1:9">
      <c r="B59" s="112"/>
      <c r="C59" s="112" t="s">
        <v>259</v>
      </c>
      <c r="D59" s="112"/>
      <c r="E59" s="112"/>
      <c r="F59" s="112"/>
      <c r="G59" s="162">
        <v>2</v>
      </c>
      <c r="H59" s="162">
        <v>3.4</v>
      </c>
      <c r="I59" s="162">
        <v>10.5</v>
      </c>
    </row>
    <row r="60" spans="1:9">
      <c r="A60" s="16"/>
      <c r="B60" s="112"/>
      <c r="C60" s="112" t="s">
        <v>27</v>
      </c>
      <c r="D60" s="112"/>
      <c r="E60" s="112"/>
      <c r="F60" s="112"/>
      <c r="G60" s="144">
        <v>-14.899999999999999</v>
      </c>
      <c r="H60" s="144">
        <v>-11.3</v>
      </c>
      <c r="I60" s="144">
        <v>-15.4</v>
      </c>
    </row>
    <row r="61" spans="1:9">
      <c r="A61" s="14"/>
      <c r="B61" s="112"/>
      <c r="C61" s="136" t="s">
        <v>19</v>
      </c>
      <c r="D61" s="112"/>
      <c r="E61" s="112"/>
      <c r="F61" s="159"/>
      <c r="G61" s="160">
        <f>SUM(G58:G60)</f>
        <v>-147.30000000000001</v>
      </c>
      <c r="H61" s="160">
        <f t="shared" ref="H61:I61" si="10">SUM(H58:H60)</f>
        <v>-166.6</v>
      </c>
      <c r="I61" s="160">
        <f t="shared" si="10"/>
        <v>-199</v>
      </c>
    </row>
    <row r="62" spans="1:9">
      <c r="A62" s="14"/>
      <c r="B62" s="147"/>
      <c r="C62" s="112"/>
      <c r="D62" s="112"/>
      <c r="E62" s="112"/>
      <c r="F62" s="163"/>
      <c r="G62" s="164"/>
      <c r="H62" s="164"/>
      <c r="I62" s="164"/>
    </row>
    <row r="63" spans="1:9">
      <c r="A63" s="14"/>
      <c r="B63" s="147"/>
      <c r="C63" s="112"/>
      <c r="D63" s="112"/>
      <c r="E63" s="112"/>
      <c r="F63" s="163"/>
      <c r="G63" s="165"/>
      <c r="H63" s="165"/>
      <c r="I63" s="165"/>
    </row>
    <row r="64" spans="1:9">
      <c r="A64" s="14"/>
      <c r="B64" s="147" t="s">
        <v>20</v>
      </c>
      <c r="C64" s="112"/>
      <c r="D64" s="112"/>
      <c r="E64" s="112"/>
      <c r="F64" s="163"/>
      <c r="G64" s="164"/>
      <c r="H64" s="164"/>
      <c r="I64" s="164"/>
    </row>
    <row r="65" spans="1:9">
      <c r="A65" s="14"/>
      <c r="B65" s="147"/>
      <c r="C65" s="112" t="s">
        <v>21</v>
      </c>
      <c r="D65" s="112"/>
      <c r="E65" s="112"/>
      <c r="F65" s="159"/>
      <c r="G65" s="162">
        <v>10.3</v>
      </c>
      <c r="H65" s="162">
        <f>H105-G105</f>
        <v>589.5</v>
      </c>
      <c r="I65" s="162">
        <f>I105-H105</f>
        <v>-200</v>
      </c>
    </row>
    <row r="66" spans="1:9">
      <c r="A66" s="14"/>
      <c r="B66" s="147"/>
      <c r="C66" s="166" t="s">
        <v>269</v>
      </c>
      <c r="D66" s="112"/>
      <c r="E66" s="112"/>
      <c r="F66" s="159"/>
      <c r="G66" s="162">
        <v>0</v>
      </c>
      <c r="H66" s="162">
        <v>0</v>
      </c>
      <c r="I66" s="162">
        <v>0</v>
      </c>
    </row>
    <row r="67" spans="1:9">
      <c r="A67" s="14"/>
      <c r="B67" s="147"/>
      <c r="C67" s="166" t="s">
        <v>268</v>
      </c>
      <c r="D67" s="112"/>
      <c r="E67" s="112"/>
      <c r="F67" s="159"/>
      <c r="G67" s="162">
        <v>-259.3</v>
      </c>
      <c r="H67" s="162">
        <v>4.7</v>
      </c>
      <c r="I67" s="162">
        <v>-10</v>
      </c>
    </row>
    <row r="68" spans="1:9">
      <c r="B68" s="112"/>
      <c r="C68" s="112" t="s">
        <v>203</v>
      </c>
      <c r="D68" s="112"/>
      <c r="E68" s="112"/>
      <c r="F68" s="112"/>
      <c r="G68" s="162">
        <v>0</v>
      </c>
      <c r="H68" s="162">
        <v>0</v>
      </c>
      <c r="I68" s="162">
        <v>0</v>
      </c>
    </row>
    <row r="69" spans="1:9">
      <c r="B69" s="112"/>
      <c r="C69" s="112" t="s">
        <v>204</v>
      </c>
      <c r="D69" s="112"/>
      <c r="E69" s="112"/>
      <c r="F69" s="112"/>
      <c r="G69" s="162">
        <v>300.2</v>
      </c>
      <c r="H69" s="162">
        <v>0.5</v>
      </c>
      <c r="I69" s="162">
        <v>-94</v>
      </c>
    </row>
    <row r="70" spans="1:9">
      <c r="B70" s="112"/>
      <c r="C70" s="112" t="s">
        <v>205</v>
      </c>
      <c r="D70" s="112"/>
      <c r="E70" s="112"/>
      <c r="F70" s="112"/>
      <c r="G70" s="162">
        <v>-0.54400000000000004</v>
      </c>
      <c r="H70" s="162">
        <v>-0.54400000000000004</v>
      </c>
      <c r="I70" s="162">
        <v>-0.54400000000000004</v>
      </c>
    </row>
    <row r="71" spans="1:9">
      <c r="A71" s="23"/>
      <c r="B71" s="147"/>
      <c r="C71" s="112" t="s">
        <v>206</v>
      </c>
      <c r="D71" s="112"/>
      <c r="E71" s="112"/>
      <c r="F71" s="159"/>
      <c r="G71" s="162">
        <v>-483</v>
      </c>
      <c r="H71" s="162">
        <v>0</v>
      </c>
      <c r="I71" s="162">
        <v>0</v>
      </c>
    </row>
    <row r="72" spans="1:9">
      <c r="A72" s="23"/>
      <c r="B72" s="147"/>
      <c r="C72" s="112" t="s">
        <v>27</v>
      </c>
      <c r="D72" s="112"/>
      <c r="E72" s="112"/>
      <c r="F72" s="159"/>
      <c r="G72" s="144">
        <v>-102.70000000000002</v>
      </c>
      <c r="H72" s="144">
        <v>-46.3</v>
      </c>
      <c r="I72" s="144">
        <v>-54.1</v>
      </c>
    </row>
    <row r="73" spans="1:9">
      <c r="A73" s="14"/>
      <c r="B73" s="147"/>
      <c r="C73" s="136" t="s">
        <v>22</v>
      </c>
      <c r="D73" s="112"/>
      <c r="E73" s="112"/>
      <c r="F73" s="159"/>
      <c r="G73" s="160">
        <f>SUM(G65:G72)</f>
        <v>-535.04399999999998</v>
      </c>
      <c r="H73" s="160">
        <f t="shared" ref="H73:I73" si="11">SUM(H65:H72)</f>
        <v>547.85600000000011</v>
      </c>
      <c r="I73" s="160">
        <f t="shared" si="11"/>
        <v>-358.64400000000001</v>
      </c>
    </row>
    <row r="74" spans="1:9">
      <c r="A74" s="14"/>
      <c r="B74" s="147"/>
      <c r="C74" s="136"/>
      <c r="D74" s="112"/>
      <c r="E74" s="112"/>
      <c r="F74" s="159"/>
      <c r="G74" s="111"/>
      <c r="H74" s="111"/>
      <c r="I74" s="111"/>
    </row>
    <row r="75" spans="1:9">
      <c r="A75" s="14"/>
      <c r="B75" s="112"/>
      <c r="C75" s="161" t="s">
        <v>42</v>
      </c>
      <c r="D75" s="112"/>
      <c r="E75" s="112"/>
      <c r="F75" s="159"/>
      <c r="G75" s="167">
        <f>G54+G61+G73</f>
        <v>-467.54399999999998</v>
      </c>
      <c r="H75" s="167">
        <f t="shared" ref="H75:I75" si="12">H54+H61+H73</f>
        <v>756.05600000000004</v>
      </c>
      <c r="I75" s="167">
        <f t="shared" si="12"/>
        <v>-197.54399999999998</v>
      </c>
    </row>
    <row r="76" spans="1:9">
      <c r="A76" s="14"/>
      <c r="B76" s="112"/>
      <c r="C76" s="161" t="s">
        <v>43</v>
      </c>
      <c r="D76" s="112"/>
      <c r="E76" s="112"/>
      <c r="F76" s="159"/>
      <c r="G76" s="144">
        <v>542.4</v>
      </c>
      <c r="H76" s="168">
        <f>G77</f>
        <v>74.855999999999995</v>
      </c>
      <c r="I76" s="168">
        <f>H77</f>
        <v>830.91200000000003</v>
      </c>
    </row>
    <row r="77" spans="1:9">
      <c r="A77" s="14"/>
      <c r="B77" s="112"/>
      <c r="C77" s="141" t="s">
        <v>44</v>
      </c>
      <c r="D77" s="112"/>
      <c r="E77" s="112"/>
      <c r="F77" s="159"/>
      <c r="G77" s="169">
        <f>G76+G75</f>
        <v>74.855999999999995</v>
      </c>
      <c r="H77" s="169">
        <f t="shared" ref="H77:I77" si="13">H76+H75</f>
        <v>830.91200000000003</v>
      </c>
      <c r="I77" s="169">
        <f t="shared" si="13"/>
        <v>633.36800000000005</v>
      </c>
    </row>
    <row r="78" spans="1:9">
      <c r="B78" s="17"/>
      <c r="C78" s="17"/>
      <c r="D78" s="17"/>
      <c r="E78" s="17"/>
      <c r="F78" s="17"/>
      <c r="G78" s="17"/>
      <c r="H78" s="17"/>
      <c r="I78" s="17"/>
    </row>
    <row r="79" spans="1:9">
      <c r="B79" s="12"/>
      <c r="C79" s="12"/>
      <c r="D79" s="12"/>
      <c r="E79" s="12"/>
      <c r="F79" s="12"/>
      <c r="G79" s="184"/>
      <c r="H79" s="184"/>
      <c r="I79" s="184"/>
    </row>
    <row r="80" spans="1:9">
      <c r="B80" s="12"/>
      <c r="C80" s="12"/>
      <c r="D80" s="12"/>
      <c r="E80" s="12"/>
      <c r="F80" s="12"/>
      <c r="G80" s="12"/>
      <c r="H80" s="12"/>
      <c r="I80" s="12"/>
    </row>
    <row r="81" spans="1:9" ht="22.5">
      <c r="B81" s="113" t="s">
        <v>235</v>
      </c>
      <c r="C81" s="18"/>
      <c r="D81" s="18"/>
      <c r="E81" s="18"/>
      <c r="F81" s="18"/>
      <c r="G81" s="18"/>
      <c r="H81" s="18"/>
      <c r="I81" s="18"/>
    </row>
    <row r="82" spans="1:9" ht="17.850000000000001">
      <c r="B82" s="114" t="s">
        <v>23</v>
      </c>
      <c r="C82" s="19"/>
      <c r="D82" s="19"/>
      <c r="E82" s="19"/>
      <c r="F82" s="19"/>
      <c r="G82" s="19"/>
      <c r="H82" s="19"/>
      <c r="I82" s="19"/>
    </row>
    <row r="83" spans="1:9" ht="17.850000000000001" thickBot="1">
      <c r="B83" s="7"/>
      <c r="C83" s="20"/>
      <c r="D83" s="20"/>
      <c r="E83" s="20"/>
      <c r="F83" s="20"/>
      <c r="G83" s="20"/>
      <c r="H83" s="20"/>
      <c r="I83" s="20"/>
    </row>
    <row r="84" spans="1:9">
      <c r="B84" s="115"/>
      <c r="C84" s="111"/>
      <c r="D84" s="111"/>
      <c r="E84" s="111"/>
      <c r="F84" s="111"/>
      <c r="G84" s="111"/>
      <c r="H84" s="111"/>
      <c r="I84" s="111"/>
    </row>
    <row r="85" spans="1:9">
      <c r="B85" s="115" t="s">
        <v>47</v>
      </c>
      <c r="C85" s="111"/>
      <c r="D85" s="153"/>
      <c r="E85" s="153"/>
      <c r="F85" s="111"/>
      <c r="G85" s="170"/>
      <c r="H85" s="170"/>
      <c r="I85" s="170"/>
    </row>
    <row r="86" spans="1:9">
      <c r="B86" s="171"/>
      <c r="C86" s="111"/>
      <c r="D86" s="111"/>
      <c r="E86" s="111"/>
      <c r="F86" s="154"/>
      <c r="G86" s="117">
        <v>2018</v>
      </c>
      <c r="H86" s="117">
        <v>2019</v>
      </c>
      <c r="I86" s="117">
        <v>2020</v>
      </c>
    </row>
    <row r="87" spans="1:9">
      <c r="A87" s="12"/>
      <c r="B87" s="136" t="s">
        <v>24</v>
      </c>
      <c r="C87" s="112"/>
      <c r="D87" s="112"/>
      <c r="E87" s="112"/>
      <c r="F87" s="112"/>
      <c r="G87" s="118"/>
      <c r="H87" s="118"/>
      <c r="I87" s="172"/>
    </row>
    <row r="88" spans="1:9">
      <c r="A88" s="16"/>
      <c r="B88" s="112"/>
      <c r="C88" s="112" t="s">
        <v>45</v>
      </c>
      <c r="D88" s="112"/>
      <c r="E88" s="112"/>
      <c r="F88" s="157"/>
      <c r="G88" s="162">
        <f>G77</f>
        <v>74.855999999999995</v>
      </c>
      <c r="H88" s="162">
        <f t="shared" ref="H88:I88" si="14">H77</f>
        <v>830.91200000000003</v>
      </c>
      <c r="I88" s="162">
        <f t="shared" si="14"/>
        <v>633.36800000000005</v>
      </c>
    </row>
    <row r="89" spans="1:9">
      <c r="B89" s="112"/>
      <c r="C89" s="112" t="s">
        <v>25</v>
      </c>
      <c r="D89" s="112"/>
      <c r="E89" s="112"/>
      <c r="F89" s="157"/>
      <c r="G89" s="162">
        <v>266.60000000000002</v>
      </c>
      <c r="H89" s="162">
        <v>306.8</v>
      </c>
      <c r="I89" s="162">
        <v>308.39999999999998</v>
      </c>
    </row>
    <row r="90" spans="1:9">
      <c r="B90" s="112"/>
      <c r="C90" s="112" t="s">
        <v>26</v>
      </c>
      <c r="D90" s="112"/>
      <c r="E90" s="112"/>
      <c r="F90" s="157"/>
      <c r="G90" s="162">
        <v>532.70000000000005</v>
      </c>
      <c r="H90" s="162">
        <v>630.20000000000005</v>
      </c>
      <c r="I90" s="162">
        <v>685.9</v>
      </c>
    </row>
    <row r="91" spans="1:9">
      <c r="B91" s="112"/>
      <c r="C91" s="166" t="s">
        <v>27</v>
      </c>
      <c r="D91" s="112"/>
      <c r="E91" s="112"/>
      <c r="F91" s="157"/>
      <c r="G91" s="144">
        <v>51.4</v>
      </c>
      <c r="H91" s="144">
        <v>61</v>
      </c>
      <c r="I91" s="144">
        <v>65.3</v>
      </c>
    </row>
    <row r="92" spans="1:9">
      <c r="B92" s="112"/>
      <c r="C92" s="141" t="s">
        <v>28</v>
      </c>
      <c r="D92" s="112"/>
      <c r="E92" s="112"/>
      <c r="F92" s="163"/>
      <c r="G92" s="167">
        <f>SUM(G88:G91)</f>
        <v>925.55600000000004</v>
      </c>
      <c r="H92" s="167">
        <f t="shared" ref="H92:I92" si="15">SUM(H88:H91)</f>
        <v>1828.912</v>
      </c>
      <c r="I92" s="167">
        <f t="shared" si="15"/>
        <v>1692.9680000000001</v>
      </c>
    </row>
    <row r="93" spans="1:9">
      <c r="B93" s="112"/>
      <c r="C93" s="112"/>
      <c r="D93" s="112"/>
      <c r="E93" s="112"/>
      <c r="F93" s="155"/>
      <c r="G93" s="173"/>
      <c r="H93" s="173"/>
      <c r="I93" s="173"/>
    </row>
    <row r="94" spans="1:9">
      <c r="B94" s="112"/>
      <c r="C94" s="112" t="s">
        <v>29</v>
      </c>
      <c r="D94" s="112"/>
      <c r="E94" s="112"/>
      <c r="F94" s="157"/>
      <c r="G94" s="162">
        <v>515.29999999999995</v>
      </c>
      <c r="H94" s="162">
        <v>586.9</v>
      </c>
      <c r="I94" s="162">
        <v>636.6</v>
      </c>
    </row>
    <row r="95" spans="1:9">
      <c r="B95" s="112"/>
      <c r="C95" s="112" t="s">
        <v>163</v>
      </c>
      <c r="D95" s="112"/>
      <c r="E95" s="112"/>
      <c r="F95" s="157"/>
      <c r="G95" s="162">
        <v>116</v>
      </c>
      <c r="H95" s="162">
        <v>115.9</v>
      </c>
      <c r="I95" s="162">
        <v>116</v>
      </c>
    </row>
    <row r="96" spans="1:9">
      <c r="B96" s="112"/>
      <c r="C96" s="112" t="s">
        <v>164</v>
      </c>
      <c r="D96" s="112"/>
      <c r="E96" s="112"/>
      <c r="F96" s="157"/>
      <c r="G96" s="162">
        <v>219.89999999999998</v>
      </c>
      <c r="H96" s="162">
        <v>220.6</v>
      </c>
      <c r="I96" s="162">
        <v>207.89999999999998</v>
      </c>
    </row>
    <row r="97" spans="1:9">
      <c r="B97" s="112"/>
      <c r="C97" s="112" t="s">
        <v>236</v>
      </c>
      <c r="D97" s="112"/>
      <c r="E97" s="112"/>
      <c r="F97" s="157"/>
      <c r="G97" s="145">
        <v>14</v>
      </c>
      <c r="H97" s="145">
        <v>17.7</v>
      </c>
      <c r="I97" s="145">
        <v>28.8</v>
      </c>
    </row>
    <row r="98" spans="1:9">
      <c r="A98" s="16"/>
      <c r="B98" s="112"/>
      <c r="C98" s="166" t="s">
        <v>27</v>
      </c>
      <c r="D98" s="112"/>
      <c r="E98" s="112"/>
      <c r="F98" s="157"/>
      <c r="G98" s="162">
        <v>145.9</v>
      </c>
      <c r="H98" s="162">
        <v>159.1</v>
      </c>
      <c r="I98" s="162">
        <v>132.5</v>
      </c>
    </row>
    <row r="99" spans="1:9">
      <c r="B99" s="112"/>
      <c r="C99" s="147" t="s">
        <v>30</v>
      </c>
      <c r="D99" s="112"/>
      <c r="E99" s="112"/>
      <c r="F99" s="157"/>
      <c r="G99" s="174">
        <f>SUM(G94:G98)</f>
        <v>1011.0999999999999</v>
      </c>
      <c r="H99" s="174">
        <f t="shared" ref="H99:I99" si="16">SUM(H94:H98)</f>
        <v>1100.2</v>
      </c>
      <c r="I99" s="174">
        <f t="shared" si="16"/>
        <v>1121.8</v>
      </c>
    </row>
    <row r="100" spans="1:9">
      <c r="B100" s="112"/>
      <c r="C100" s="166"/>
      <c r="D100" s="112"/>
      <c r="E100" s="112"/>
      <c r="F100" s="155"/>
      <c r="G100" s="173"/>
      <c r="H100" s="173"/>
      <c r="I100" s="173"/>
    </row>
    <row r="101" spans="1:9" ht="13.25" thickBot="1">
      <c r="B101" s="112"/>
      <c r="C101" s="136" t="s">
        <v>31</v>
      </c>
      <c r="D101" s="112"/>
      <c r="E101" s="112"/>
      <c r="F101" s="159"/>
      <c r="G101" s="175">
        <f>G92+G99</f>
        <v>1936.6559999999999</v>
      </c>
      <c r="H101" s="175">
        <f t="shared" ref="H101:I101" si="17">H92+H99</f>
        <v>2929.1120000000001</v>
      </c>
      <c r="I101" s="175">
        <f t="shared" si="17"/>
        <v>2814.768</v>
      </c>
    </row>
    <row r="102" spans="1:9" ht="13.25" thickTop="1">
      <c r="B102" s="112"/>
      <c r="C102" s="112"/>
      <c r="D102" s="112"/>
      <c r="E102" s="112"/>
      <c r="F102" s="155"/>
      <c r="G102" s="173"/>
      <c r="H102" s="173"/>
      <c r="I102" s="173"/>
    </row>
    <row r="103" spans="1:9">
      <c r="B103" s="112"/>
      <c r="C103" s="112"/>
      <c r="D103" s="112"/>
      <c r="E103" s="112"/>
      <c r="F103" s="155"/>
      <c r="G103" s="173"/>
      <c r="H103" s="173"/>
      <c r="I103" s="173"/>
    </row>
    <row r="104" spans="1:9">
      <c r="B104" s="141" t="s">
        <v>32</v>
      </c>
      <c r="C104" s="112"/>
      <c r="D104" s="112"/>
      <c r="E104" s="112"/>
      <c r="F104" s="155"/>
      <c r="G104" s="173"/>
      <c r="H104" s="173"/>
      <c r="I104" s="173"/>
    </row>
    <row r="105" spans="1:9">
      <c r="B105" s="112"/>
      <c r="C105" s="166" t="s">
        <v>33</v>
      </c>
      <c r="D105" s="112"/>
      <c r="E105" s="112"/>
      <c r="F105" s="157"/>
      <c r="G105" s="162">
        <v>10.5</v>
      </c>
      <c r="H105" s="162">
        <v>600</v>
      </c>
      <c r="I105" s="162">
        <v>400</v>
      </c>
    </row>
    <row r="106" spans="1:9">
      <c r="B106" s="112"/>
      <c r="C106" s="166" t="s">
        <v>34</v>
      </c>
      <c r="D106" s="112"/>
      <c r="E106" s="112"/>
      <c r="F106" s="157"/>
      <c r="G106" s="176">
        <v>547</v>
      </c>
      <c r="H106" s="176">
        <v>678.4</v>
      </c>
      <c r="I106" s="176">
        <v>650.29999999999995</v>
      </c>
    </row>
    <row r="107" spans="1:9">
      <c r="B107" s="112"/>
      <c r="C107" s="166" t="s">
        <v>27</v>
      </c>
      <c r="D107" s="112"/>
      <c r="E107" s="112"/>
      <c r="F107" s="157"/>
      <c r="G107" s="144">
        <v>206.6</v>
      </c>
      <c r="H107" s="144">
        <v>248.50000000000006</v>
      </c>
      <c r="I107" s="144">
        <v>266.2</v>
      </c>
    </row>
    <row r="108" spans="1:9">
      <c r="B108" s="112"/>
      <c r="C108" s="141" t="s">
        <v>35</v>
      </c>
      <c r="D108" s="112"/>
      <c r="E108" s="112"/>
      <c r="F108" s="163"/>
      <c r="G108" s="177">
        <f>SUM(G105:G107)</f>
        <v>764.1</v>
      </c>
      <c r="H108" s="177">
        <f t="shared" ref="H108:I108" si="18">SUM(H105:H107)</f>
        <v>1526.9</v>
      </c>
      <c r="I108" s="177">
        <f t="shared" si="18"/>
        <v>1316.5</v>
      </c>
    </row>
    <row r="109" spans="1:9">
      <c r="B109" s="112"/>
      <c r="C109" s="112"/>
      <c r="D109" s="112"/>
      <c r="E109" s="112"/>
      <c r="F109" s="155"/>
      <c r="G109" s="173"/>
      <c r="H109" s="173"/>
      <c r="I109" s="173"/>
    </row>
    <row r="110" spans="1:9">
      <c r="B110" s="112"/>
      <c r="C110" s="166" t="s">
        <v>165</v>
      </c>
      <c r="D110" s="112"/>
      <c r="E110" s="112"/>
      <c r="F110" s="178"/>
      <c r="G110" s="145">
        <v>0</v>
      </c>
      <c r="H110" s="145">
        <v>0</v>
      </c>
      <c r="I110" s="145">
        <v>250</v>
      </c>
    </row>
    <row r="111" spans="1:9">
      <c r="B111" s="112"/>
      <c r="C111" s="166" t="s">
        <v>166</v>
      </c>
      <c r="D111" s="112"/>
      <c r="E111" s="112"/>
      <c r="F111" s="178"/>
      <c r="G111" s="145">
        <v>889.9</v>
      </c>
      <c r="H111" s="145">
        <v>1035.5</v>
      </c>
      <c r="I111" s="145">
        <v>896.59999999999991</v>
      </c>
    </row>
    <row r="112" spans="1:9">
      <c r="B112" s="112"/>
      <c r="C112" s="166" t="s">
        <v>27</v>
      </c>
      <c r="D112" s="112"/>
      <c r="E112" s="112"/>
      <c r="F112" s="178"/>
      <c r="G112" s="144">
        <v>324</v>
      </c>
      <c r="H112" s="144">
        <v>394.70000000000005</v>
      </c>
      <c r="I112" s="144">
        <v>367.40000000000003</v>
      </c>
    </row>
    <row r="113" spans="1:9">
      <c r="B113" s="112"/>
      <c r="C113" s="147" t="s">
        <v>36</v>
      </c>
      <c r="D113" s="112"/>
      <c r="E113" s="112"/>
      <c r="F113" s="157"/>
      <c r="G113" s="167">
        <f>SUM(G110:G112)</f>
        <v>1213.9000000000001</v>
      </c>
      <c r="H113" s="167">
        <f t="shared" ref="H113:I113" si="19">SUM(H110:H112)</f>
        <v>1430.2</v>
      </c>
      <c r="I113" s="167">
        <f t="shared" si="19"/>
        <v>1514</v>
      </c>
    </row>
    <row r="114" spans="1:9">
      <c r="B114" s="112"/>
      <c r="C114" s="141"/>
      <c r="D114" s="112"/>
      <c r="E114" s="112"/>
      <c r="F114" s="155"/>
      <c r="G114" s="173"/>
      <c r="H114" s="173"/>
      <c r="I114" s="173"/>
    </row>
    <row r="115" spans="1:9">
      <c r="B115" s="112"/>
      <c r="C115" s="147" t="s">
        <v>37</v>
      </c>
      <c r="D115" s="112"/>
      <c r="E115" s="112"/>
      <c r="F115" s="159"/>
      <c r="G115" s="143">
        <f>G108+G113</f>
        <v>1978</v>
      </c>
      <c r="H115" s="143">
        <f t="shared" ref="H115:I115" si="20">H108+H113</f>
        <v>2957.1000000000004</v>
      </c>
      <c r="I115" s="143">
        <f t="shared" si="20"/>
        <v>2830.5</v>
      </c>
    </row>
    <row r="116" spans="1:9">
      <c r="B116" s="112"/>
      <c r="C116" s="112"/>
      <c r="D116" s="112"/>
      <c r="E116" s="112"/>
      <c r="F116" s="155"/>
      <c r="G116" s="173"/>
      <c r="H116" s="173"/>
      <c r="I116" s="173"/>
    </row>
    <row r="117" spans="1:9">
      <c r="B117" s="112"/>
      <c r="C117" s="112" t="s">
        <v>207</v>
      </c>
      <c r="D117" s="112"/>
      <c r="E117" s="112"/>
      <c r="F117" s="163"/>
      <c r="G117" s="162">
        <v>6.4</v>
      </c>
      <c r="H117" s="162">
        <v>6.4</v>
      </c>
      <c r="I117" s="162">
        <v>6.4</v>
      </c>
    </row>
    <row r="118" spans="1:9">
      <c r="B118" s="112"/>
      <c r="C118" s="112" t="s">
        <v>38</v>
      </c>
      <c r="D118" s="112"/>
      <c r="E118" s="112"/>
      <c r="F118" s="163"/>
      <c r="G118" s="162">
        <v>365.3</v>
      </c>
      <c r="H118" s="162">
        <v>371.9</v>
      </c>
      <c r="I118" s="162">
        <v>346.40000000000003</v>
      </c>
    </row>
    <row r="119" spans="1:9">
      <c r="A119" s="16"/>
      <c r="B119" s="112"/>
      <c r="C119" s="112" t="s">
        <v>39</v>
      </c>
      <c r="D119" s="112"/>
      <c r="E119" s="112"/>
      <c r="F119" s="163"/>
      <c r="G119" s="162">
        <v>-429.24399999999997</v>
      </c>
      <c r="H119" s="162">
        <v>-419.88799999999998</v>
      </c>
      <c r="I119" s="162">
        <v>-395.23199999999997</v>
      </c>
    </row>
    <row r="120" spans="1:9">
      <c r="A120" s="16"/>
      <c r="B120" s="112"/>
      <c r="C120" s="112" t="s">
        <v>27</v>
      </c>
      <c r="D120" s="112"/>
      <c r="E120" s="112"/>
      <c r="F120" s="163"/>
      <c r="G120" s="144">
        <v>16.2</v>
      </c>
      <c r="H120" s="144">
        <v>13.599999999999998</v>
      </c>
      <c r="I120" s="144">
        <v>26.7</v>
      </c>
    </row>
    <row r="121" spans="1:9">
      <c r="B121" s="112"/>
      <c r="C121" s="141" t="s">
        <v>40</v>
      </c>
      <c r="D121" s="112"/>
      <c r="E121" s="112"/>
      <c r="F121" s="157"/>
      <c r="G121" s="169">
        <f>SUM(G117:G120)</f>
        <v>-41.34399999999998</v>
      </c>
      <c r="H121" s="169">
        <f t="shared" ref="H121:I121" si="21">SUM(H117:H120)</f>
        <v>-27.988000000000024</v>
      </c>
      <c r="I121" s="169">
        <f t="shared" si="21"/>
        <v>-15.73199999999996</v>
      </c>
    </row>
    <row r="122" spans="1:9">
      <c r="B122" s="112"/>
      <c r="C122" s="112"/>
      <c r="D122" s="112"/>
      <c r="E122" s="112"/>
      <c r="F122" s="155"/>
      <c r="G122" s="173"/>
      <c r="H122" s="173"/>
      <c r="I122" s="173"/>
    </row>
    <row r="123" spans="1:9" ht="13.25" thickBot="1">
      <c r="B123" s="141" t="s">
        <v>41</v>
      </c>
      <c r="C123" s="112"/>
      <c r="D123" s="112"/>
      <c r="E123" s="112"/>
      <c r="F123" s="159"/>
      <c r="G123" s="175">
        <f>G115+G121</f>
        <v>1936.6559999999999</v>
      </c>
      <c r="H123" s="175">
        <f t="shared" ref="H123:I123" si="22">H115+H121</f>
        <v>2929.1120000000005</v>
      </c>
      <c r="I123" s="175">
        <f t="shared" si="22"/>
        <v>2814.768</v>
      </c>
    </row>
    <row r="124" spans="1:9" ht="13.25" thickTop="1">
      <c r="F124" s="24"/>
      <c r="G124" s="25"/>
      <c r="H124" s="25"/>
      <c r="I124" s="24"/>
    </row>
    <row r="125" spans="1:9">
      <c r="B125" s="26"/>
      <c r="C125" s="17"/>
      <c r="D125" s="17"/>
      <c r="E125" s="17"/>
      <c r="F125" s="17"/>
      <c r="G125" s="27"/>
      <c r="H125" s="27"/>
      <c r="I125" s="27"/>
    </row>
  </sheetData>
  <printOptions headings="1"/>
  <pageMargins left="0.70866141732283472" right="0.70866141732283472" top="0.74803149606299213" bottom="0.74803149606299213" header="0.31496062992125984" footer="0.31496062992125984"/>
  <pageSetup scale="96" fitToHeight="0" orientation="portrait" r:id="rId1"/>
  <rowBreaks count="2" manualBreakCount="2">
    <brk id="37" max="16383" man="1"/>
    <brk id="79" max="16383" man="1"/>
  </rowBreaks>
  <colBreaks count="2" manualBreakCount="2">
    <brk id="1" max="1048575" man="1"/>
    <brk id="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BEC2-D8A5-4B34-B7DA-085B58F572AA}">
  <sheetPr codeName="Sheet3">
    <pageSetUpPr fitToPage="1"/>
  </sheetPr>
  <dimension ref="A1:P84"/>
  <sheetViews>
    <sheetView showGridLines="0" workbookViewId="0"/>
  </sheetViews>
  <sheetFormatPr defaultRowHeight="12.7"/>
  <cols>
    <col min="1" max="3" width="2.88671875" customWidth="1"/>
    <col min="4" max="4" width="29.5546875" customWidth="1"/>
    <col min="6" max="6" width="9.109375" customWidth="1"/>
    <col min="7" max="8" width="3.5546875" customWidth="1"/>
  </cols>
  <sheetData>
    <row r="1" spans="1:16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5.55">
      <c r="A2" s="31"/>
      <c r="B2" s="32" t="str">
        <f>Cover!$C$7</f>
        <v>CTD Industries</v>
      </c>
      <c r="C2" s="31"/>
      <c r="D2" s="31"/>
      <c r="E2" s="31"/>
      <c r="F2" s="31"/>
      <c r="G2" s="31"/>
      <c r="H2" s="31"/>
      <c r="I2" s="35" t="str">
        <f>"Financial Forecast: "&amp;L6&amp;" to "&amp;P6</f>
        <v>Financial Forecast: 2021 to 2025</v>
      </c>
      <c r="J2" s="35"/>
      <c r="K2" s="35"/>
      <c r="L2" s="35"/>
      <c r="M2" s="31"/>
      <c r="N2" s="31"/>
      <c r="O2" s="31"/>
      <c r="P2" s="31"/>
    </row>
    <row r="3" spans="1:16">
      <c r="A3" s="31"/>
      <c r="B3" s="31" t="s">
        <v>53</v>
      </c>
      <c r="C3" s="31"/>
      <c r="D3" s="31"/>
      <c r="E3" s="31"/>
      <c r="F3" s="31"/>
      <c r="G3" s="31"/>
      <c r="H3" s="31"/>
      <c r="I3" s="192" t="str">
        <f ca="1">IF(BSCheck=0,"BS Check: OK","BS Check: ERROR")</f>
        <v>BS Check: OK</v>
      </c>
      <c r="J3" s="193"/>
      <c r="K3" s="192" t="str">
        <f>ScenarioUSed</f>
        <v>Scenario: Worst Case</v>
      </c>
      <c r="L3" s="193"/>
      <c r="M3" s="31"/>
      <c r="N3" s="31"/>
      <c r="O3" s="31"/>
      <c r="P3" s="31"/>
    </row>
    <row r="4" spans="1:16" ht="6.65" customHeight="1"/>
    <row r="5" spans="1:16">
      <c r="I5" s="30" t="s">
        <v>51</v>
      </c>
      <c r="J5" s="30" t="s">
        <v>51</v>
      </c>
      <c r="K5" s="30" t="s">
        <v>51</v>
      </c>
      <c r="L5" s="30" t="s">
        <v>52</v>
      </c>
      <c r="M5" s="30" t="s">
        <v>52</v>
      </c>
      <c r="N5" s="30" t="s">
        <v>52</v>
      </c>
      <c r="O5" s="30" t="s">
        <v>52</v>
      </c>
      <c r="P5" s="30" t="s">
        <v>52</v>
      </c>
    </row>
    <row r="6" spans="1:16">
      <c r="E6" t="s">
        <v>65</v>
      </c>
      <c r="F6" t="s">
        <v>158</v>
      </c>
      <c r="I6" s="33">
        <f>Hist!G7</f>
        <v>2018</v>
      </c>
      <c r="J6" s="33">
        <f>Hist!H7</f>
        <v>2019</v>
      </c>
      <c r="K6" s="33">
        <f>Hist!I7</f>
        <v>2020</v>
      </c>
      <c r="L6" s="34">
        <f>K6+1</f>
        <v>2021</v>
      </c>
      <c r="M6" s="34">
        <f t="shared" ref="M6:P6" si="0">L6+1</f>
        <v>2022</v>
      </c>
      <c r="N6" s="34">
        <f t="shared" si="0"/>
        <v>2023</v>
      </c>
      <c r="O6" s="34">
        <f t="shared" si="0"/>
        <v>2024</v>
      </c>
      <c r="P6" s="34">
        <f t="shared" si="0"/>
        <v>2025</v>
      </c>
    </row>
    <row r="8" spans="1:16" ht="13.25" thickBot="1">
      <c r="B8" s="36" t="s">
        <v>159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10" spans="1:16">
      <c r="C10" s="38" t="s">
        <v>116</v>
      </c>
    </row>
    <row r="11" spans="1:16">
      <c r="D11" t="s">
        <v>46</v>
      </c>
      <c r="E11" s="49" t="s">
        <v>212</v>
      </c>
      <c r="I11">
        <v>3194.1</v>
      </c>
      <c r="J11">
        <v>3524.7</v>
      </c>
      <c r="K11">
        <v>3829.2</v>
      </c>
      <c r="L11">
        <v>4025.0120249999991</v>
      </c>
      <c r="M11">
        <v>4231.2989235187497</v>
      </c>
      <c r="N11">
        <v>4448.6336285830439</v>
      </c>
      <c r="O11">
        <v>4370.7679030078107</v>
      </c>
      <c r="P11">
        <v>4480.0371005830057</v>
      </c>
    </row>
    <row r="12" spans="1:16">
      <c r="D12" t="s">
        <v>156</v>
      </c>
      <c r="E12" s="49" t="s">
        <v>79</v>
      </c>
      <c r="J12" s="44">
        <v>0.10350333427256508</v>
      </c>
      <c r="K12" s="44">
        <v>8.6390331092007777E-2</v>
      </c>
      <c r="L12" s="44">
        <v>5.1136536352240469E-2</v>
      </c>
      <c r="M12" s="44">
        <v>5.1251250241606483E-2</v>
      </c>
      <c r="N12" s="44">
        <v>5.1363590470124176E-2</v>
      </c>
      <c r="O12" s="44">
        <v>-1.7503290240611369E-2</v>
      </c>
      <c r="P12" s="44">
        <v>2.4999999999999911E-2</v>
      </c>
    </row>
    <row r="13" spans="1:16">
      <c r="C13" s="38" t="s">
        <v>4</v>
      </c>
      <c r="E13" s="49"/>
    </row>
    <row r="14" spans="1:16">
      <c r="D14" t="s">
        <v>4</v>
      </c>
      <c r="E14" s="49" t="s">
        <v>212</v>
      </c>
      <c r="I14">
        <v>390.39999999999964</v>
      </c>
      <c r="J14">
        <v>418.29999999999944</v>
      </c>
      <c r="K14">
        <v>391.49999999999955</v>
      </c>
      <c r="L14">
        <v>544.10170499999867</v>
      </c>
      <c r="M14">
        <v>658.35656052674949</v>
      </c>
      <c r="N14">
        <v>780.6844416076483</v>
      </c>
      <c r="O14">
        <v>669.17896325869879</v>
      </c>
      <c r="P14">
        <v>704.41638203891125</v>
      </c>
    </row>
    <row r="15" spans="1:16">
      <c r="D15" t="s">
        <v>156</v>
      </c>
      <c r="E15" s="49" t="s">
        <v>79</v>
      </c>
      <c r="J15" s="44">
        <v>7.1465163934425702E-2</v>
      </c>
      <c r="K15" s="44">
        <v>-6.4068850107578124E-2</v>
      </c>
      <c r="L15" s="44">
        <v>0.38978724137930865</v>
      </c>
      <c r="M15" s="44">
        <v>0.20998804906658242</v>
      </c>
      <c r="N15" s="44">
        <v>0.18580794726648509</v>
      </c>
      <c r="O15" s="44">
        <v>-0.14283040932560209</v>
      </c>
      <c r="P15" s="44">
        <v>5.2657690565490745E-2</v>
      </c>
    </row>
    <row r="16" spans="1:16">
      <c r="D16" t="s">
        <v>107</v>
      </c>
      <c r="E16" s="49" t="s">
        <v>79</v>
      </c>
      <c r="I16" s="44">
        <v>0.12222535299458365</v>
      </c>
      <c r="J16" s="44">
        <v>0.11867676681703392</v>
      </c>
      <c r="K16" s="44">
        <v>0.10224067690379179</v>
      </c>
      <c r="L16" s="44">
        <v>0.13518014396491121</v>
      </c>
      <c r="M16" s="44">
        <v>0.1555920705264803</v>
      </c>
      <c r="N16" s="44">
        <v>0.17548858970800613</v>
      </c>
      <c r="O16" s="44">
        <v>0.15310329399970954</v>
      </c>
      <c r="P16" s="44">
        <v>0.15723449744361329</v>
      </c>
    </row>
    <row r="17" spans="2:16">
      <c r="C17" s="38" t="s">
        <v>143</v>
      </c>
      <c r="E17" s="49"/>
    </row>
    <row r="18" spans="2:16">
      <c r="D18" t="s">
        <v>143</v>
      </c>
      <c r="E18" s="49" t="s">
        <v>212</v>
      </c>
      <c r="I18">
        <v>291.89999999999964</v>
      </c>
      <c r="J18">
        <v>317.99999999999943</v>
      </c>
      <c r="K18">
        <v>263.19999999999953</v>
      </c>
      <c r="L18">
        <v>242.33499374112989</v>
      </c>
      <c r="M18">
        <v>318.79400122451528</v>
      </c>
      <c r="N18">
        <v>395.32477147480648</v>
      </c>
      <c r="O18">
        <v>307.91855058911159</v>
      </c>
      <c r="P18">
        <v>322.95338965818473</v>
      </c>
    </row>
    <row r="19" spans="2:16">
      <c r="D19" t="s">
        <v>156</v>
      </c>
      <c r="E19" s="49" t="s">
        <v>79</v>
      </c>
      <c r="J19" s="44">
        <v>8.9414182939362208E-2</v>
      </c>
      <c r="K19" s="44">
        <v>-0.17232704402515719</v>
      </c>
      <c r="L19" s="44">
        <v>-7.9274339889322532E-2</v>
      </c>
      <c r="M19" s="44">
        <v>0.31550956097187255</v>
      </c>
      <c r="N19" s="44">
        <v>0.24006339503356378</v>
      </c>
      <c r="O19" s="44">
        <v>-0.22109978223630034</v>
      </c>
      <c r="P19" s="44">
        <v>4.8827324759448176E-2</v>
      </c>
    </row>
    <row r="20" spans="2:16">
      <c r="D20" t="s">
        <v>108</v>
      </c>
      <c r="E20" s="49" t="s">
        <v>79</v>
      </c>
      <c r="I20" s="44">
        <v>9.1387245233398973E-2</v>
      </c>
      <c r="J20" s="44">
        <v>9.0220444293131169E-2</v>
      </c>
      <c r="K20" s="44">
        <v>6.8734983808628317E-2</v>
      </c>
      <c r="L20" s="44">
        <v>6.020727198725076E-2</v>
      </c>
      <c r="M20" s="44">
        <v>7.5341876569525387E-2</v>
      </c>
      <c r="N20" s="44">
        <v>8.8864313063407585E-2</v>
      </c>
      <c r="O20" s="44">
        <v>7.0449531391775053E-2</v>
      </c>
      <c r="P20" s="44">
        <v>7.2087213209943615E-2</v>
      </c>
    </row>
    <row r="21" spans="2:16">
      <c r="C21" s="38" t="s">
        <v>112</v>
      </c>
      <c r="E21" s="49"/>
    </row>
    <row r="22" spans="2:16">
      <c r="D22" t="s">
        <v>109</v>
      </c>
      <c r="E22" s="49" t="s">
        <v>79</v>
      </c>
      <c r="I22" s="44">
        <v>-7.060274767801852</v>
      </c>
      <c r="J22" s="44">
        <v>-11.36201229098182</v>
      </c>
      <c r="K22" s="44">
        <v>-16.730231375540313</v>
      </c>
      <c r="L22" s="44">
        <v>2.8306444191459255</v>
      </c>
      <c r="M22" s="44">
        <v>0.79604219809708976</v>
      </c>
      <c r="N22" s="44">
        <v>0.51627726761268522</v>
      </c>
      <c r="O22" s="44">
        <v>0.290752456428717</v>
      </c>
      <c r="P22" s="44">
        <v>0.23794515568303556</v>
      </c>
    </row>
    <row r="23" spans="2:16">
      <c r="D23" t="s">
        <v>108</v>
      </c>
      <c r="E23" s="49" t="s">
        <v>79</v>
      </c>
      <c r="I23" s="44">
        <v>9.1387245233398973E-2</v>
      </c>
      <c r="J23" s="44">
        <v>9.0220444293131169E-2</v>
      </c>
      <c r="K23" s="44">
        <v>6.8734983808628317E-2</v>
      </c>
      <c r="L23" s="44">
        <v>6.020727198725076E-2</v>
      </c>
      <c r="M23" s="44">
        <v>7.5341876569525387E-2</v>
      </c>
      <c r="N23" s="44">
        <v>8.8864313063407585E-2</v>
      </c>
      <c r="O23" s="44">
        <v>7.0449531391775053E-2</v>
      </c>
      <c r="P23" s="44">
        <v>7.2087213209943615E-2</v>
      </c>
    </row>
    <row r="24" spans="2:16">
      <c r="D24" t="s">
        <v>110</v>
      </c>
      <c r="E24" s="49" t="s">
        <v>157</v>
      </c>
      <c r="I24" s="84">
        <v>1.6492861922819539</v>
      </c>
      <c r="J24" s="84">
        <v>1.2033339797180851</v>
      </c>
      <c r="K24" s="84">
        <v>1.3603963097491516</v>
      </c>
      <c r="L24" s="84">
        <v>1.6862287699275498</v>
      </c>
      <c r="M24" s="84">
        <v>1.6399472563186139</v>
      </c>
      <c r="N24" s="84">
        <v>1.6011196179961507</v>
      </c>
      <c r="O24" s="84">
        <v>1.5019726218700968</v>
      </c>
      <c r="P24" s="84">
        <v>1.4678268177883718</v>
      </c>
    </row>
    <row r="25" spans="2:16">
      <c r="D25" t="s">
        <v>111</v>
      </c>
      <c r="E25" s="49" t="s">
        <v>157</v>
      </c>
      <c r="I25" s="84">
        <v>-46.842492260061938</v>
      </c>
      <c r="J25" s="84">
        <v>-104.65599542661131</v>
      </c>
      <c r="K25" s="84">
        <v>-178.91990846681966</v>
      </c>
      <c r="L25" s="84">
        <v>27.881739996802199</v>
      </c>
      <c r="M25" s="84">
        <v>6.4427277018017231</v>
      </c>
      <c r="N25" s="84">
        <v>3.6285393401273032</v>
      </c>
      <c r="O25" s="84">
        <v>2.7477882844405324</v>
      </c>
      <c r="P25" s="84">
        <v>2.2487636505268633</v>
      </c>
    </row>
    <row r="27" spans="2:16" ht="13.25" thickBot="1">
      <c r="B27" s="36" t="s">
        <v>160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9" spans="2:16">
      <c r="C29" s="38" t="s">
        <v>116</v>
      </c>
    </row>
    <row r="30" spans="2:16">
      <c r="D30" t="s">
        <v>46</v>
      </c>
      <c r="E30" s="49" t="s">
        <v>212</v>
      </c>
      <c r="I30">
        <v>3194.1</v>
      </c>
      <c r="J30">
        <v>3524.7</v>
      </c>
      <c r="K30">
        <v>3829.2</v>
      </c>
      <c r="L30">
        <v>4100.8390799999997</v>
      </c>
      <c r="M30">
        <v>4392.3949137119998</v>
      </c>
      <c r="N30">
        <v>4705.3556822395967</v>
      </c>
      <c r="O30">
        <v>4556.6786044357486</v>
      </c>
      <c r="P30">
        <v>4719.5227743045998</v>
      </c>
    </row>
    <row r="31" spans="2:16">
      <c r="D31" t="s">
        <v>156</v>
      </c>
      <c r="E31" s="49" t="s">
        <v>79</v>
      </c>
      <c r="J31" s="44">
        <v>0.10350333427256508</v>
      </c>
      <c r="K31" s="44">
        <v>8.6390331092007777E-2</v>
      </c>
      <c r="L31" s="44">
        <v>7.0938859291758138E-2</v>
      </c>
      <c r="M31" s="44">
        <v>7.1096628768959169E-2</v>
      </c>
      <c r="N31" s="44">
        <v>7.1250598972922186E-2</v>
      </c>
      <c r="O31" s="44">
        <v>-3.1597415337809798E-2</v>
      </c>
      <c r="P31" s="44">
        <v>3.5737471084822392E-2</v>
      </c>
    </row>
    <row r="32" spans="2:16">
      <c r="C32" s="38" t="s">
        <v>4</v>
      </c>
      <c r="E32" s="49"/>
    </row>
    <row r="33" spans="2:16">
      <c r="D33" t="s">
        <v>4</v>
      </c>
      <c r="E33" s="49" t="s">
        <v>212</v>
      </c>
      <c r="I33">
        <v>390.39999999999964</v>
      </c>
      <c r="J33">
        <v>418.29999999999944</v>
      </c>
      <c r="K33">
        <v>391.49999999999955</v>
      </c>
      <c r="L33">
        <v>626.90075999999954</v>
      </c>
      <c r="M33">
        <v>836.46736752000015</v>
      </c>
      <c r="N33">
        <v>1064.5477350453225</v>
      </c>
      <c r="O33">
        <v>923.98549137585132</v>
      </c>
      <c r="P33">
        <v>1032.3392645488038</v>
      </c>
    </row>
    <row r="34" spans="2:16">
      <c r="D34" t="s">
        <v>156</v>
      </c>
      <c r="E34" s="49" t="s">
        <v>79</v>
      </c>
      <c r="J34" s="44">
        <v>7.1465163934425702E-2</v>
      </c>
      <c r="K34" s="44">
        <v>-6.4068850107578124E-2</v>
      </c>
      <c r="L34" s="44">
        <v>0.60127908045977074</v>
      </c>
      <c r="M34" s="44">
        <v>0.33428992416598891</v>
      </c>
      <c r="N34" s="44">
        <v>0.27267096886462694</v>
      </c>
      <c r="O34" s="44">
        <v>-0.13203939949530474</v>
      </c>
      <c r="P34" s="44">
        <v>0.11726782961884985</v>
      </c>
    </row>
    <row r="35" spans="2:16">
      <c r="D35" t="s">
        <v>107</v>
      </c>
      <c r="E35" s="49" t="s">
        <v>79</v>
      </c>
      <c r="I35" s="44">
        <v>0.12222535299458365</v>
      </c>
      <c r="J35" s="44">
        <v>0.11867676681703392</v>
      </c>
      <c r="K35" s="44">
        <v>0.10224067690379179</v>
      </c>
      <c r="L35" s="44">
        <v>0.15287133871149111</v>
      </c>
      <c r="M35" s="44">
        <v>0.19043537385692491</v>
      </c>
      <c r="N35" s="44">
        <v>0.22624171410961907</v>
      </c>
      <c r="O35" s="44">
        <v>0.20277609451682363</v>
      </c>
      <c r="P35" s="44">
        <v>0.21873806185857728</v>
      </c>
    </row>
    <row r="36" spans="2:16">
      <c r="C36" s="38" t="s">
        <v>143</v>
      </c>
      <c r="E36" s="49"/>
    </row>
    <row r="37" spans="2:16">
      <c r="D37" t="s">
        <v>143</v>
      </c>
      <c r="E37" s="49" t="s">
        <v>212</v>
      </c>
      <c r="I37">
        <v>291.89999999999964</v>
      </c>
      <c r="J37">
        <v>317.99999999999943</v>
      </c>
      <c r="K37">
        <v>263.19999999999953</v>
      </c>
      <c r="L37">
        <v>300.7243659006707</v>
      </c>
      <c r="M37">
        <v>445.03993428311924</v>
      </c>
      <c r="N37">
        <v>596.52167816594078</v>
      </c>
      <c r="O37">
        <v>489.61766142000772</v>
      </c>
      <c r="P37">
        <v>556.99810193081794</v>
      </c>
    </row>
    <row r="38" spans="2:16">
      <c r="D38" t="s">
        <v>156</v>
      </c>
      <c r="E38" s="49" t="s">
        <v>79</v>
      </c>
      <c r="J38" s="44">
        <v>8.9414182939362208E-2</v>
      </c>
      <c r="K38" s="44">
        <v>-0.17232704402515719</v>
      </c>
      <c r="L38" s="44">
        <v>0.14256977925786951</v>
      </c>
      <c r="M38" s="44">
        <v>0.47989316712073804</v>
      </c>
      <c r="N38" s="44">
        <v>0.34037786772288614</v>
      </c>
      <c r="O38" s="44">
        <v>-0.1792122912860753</v>
      </c>
      <c r="P38" s="44">
        <v>0.13761848442188729</v>
      </c>
    </row>
    <row r="39" spans="2:16">
      <c r="D39" t="s">
        <v>108</v>
      </c>
      <c r="E39" s="49" t="s">
        <v>79</v>
      </c>
      <c r="I39" s="44">
        <v>9.1387245233398973E-2</v>
      </c>
      <c r="J39" s="44">
        <v>9.0220444293131169E-2</v>
      </c>
      <c r="K39" s="44">
        <v>6.8734983808628317E-2</v>
      </c>
      <c r="L39" s="44">
        <v>7.3332398573579413E-2</v>
      </c>
      <c r="M39" s="44">
        <v>0.10132056498239984</v>
      </c>
      <c r="N39" s="44">
        <v>0.12677504495941014</v>
      </c>
      <c r="O39" s="44">
        <v>0.10745055860279108</v>
      </c>
      <c r="P39" s="44">
        <v>0.11802000510801414</v>
      </c>
    </row>
    <row r="40" spans="2:16">
      <c r="C40" s="38" t="s">
        <v>112</v>
      </c>
      <c r="E40" s="49"/>
    </row>
    <row r="41" spans="2:16">
      <c r="D41" t="s">
        <v>109</v>
      </c>
      <c r="E41" s="49" t="s">
        <v>79</v>
      </c>
      <c r="I41" s="44">
        <v>-7.060274767801852</v>
      </c>
      <c r="J41" s="44">
        <v>-11.36201229098182</v>
      </c>
      <c r="K41" s="44">
        <v>-16.730231375540313</v>
      </c>
      <c r="L41" s="44">
        <v>2.3239316565628649</v>
      </c>
      <c r="M41" s="44">
        <v>0.82575331362255122</v>
      </c>
      <c r="N41" s="44">
        <v>0.56537195424456843</v>
      </c>
      <c r="O41" s="44">
        <v>0.32977798664330327</v>
      </c>
      <c r="P41" s="44">
        <v>0.28440880795990431</v>
      </c>
    </row>
    <row r="42" spans="2:16">
      <c r="D42" t="s">
        <v>108</v>
      </c>
      <c r="E42" s="49" t="s">
        <v>79</v>
      </c>
      <c r="I42" s="44">
        <v>9.1387245233398973E-2</v>
      </c>
      <c r="J42" s="44">
        <v>9.0220444293131169E-2</v>
      </c>
      <c r="K42" s="44">
        <v>6.8734983808628317E-2</v>
      </c>
      <c r="L42" s="44">
        <v>7.3332398573579413E-2</v>
      </c>
      <c r="M42" s="44">
        <v>0.10132056498239984</v>
      </c>
      <c r="N42" s="44">
        <v>0.12677504495941014</v>
      </c>
      <c r="O42" s="44">
        <v>0.10745055860279108</v>
      </c>
      <c r="P42" s="44">
        <v>0.11802000510801414</v>
      </c>
    </row>
    <row r="43" spans="2:16">
      <c r="D43" t="s">
        <v>110</v>
      </c>
      <c r="E43" s="49" t="s">
        <v>157</v>
      </c>
      <c r="I43" s="84">
        <v>1.6492861922819539</v>
      </c>
      <c r="J43" s="84">
        <v>1.2033339797180851</v>
      </c>
      <c r="K43" s="84">
        <v>1.3603963097491516</v>
      </c>
      <c r="L43" s="84">
        <v>1.7027741805966699</v>
      </c>
      <c r="M43" s="84">
        <v>1.6470671984273828</v>
      </c>
      <c r="N43" s="84">
        <v>1.5515038291110328</v>
      </c>
      <c r="O43" s="84">
        <v>1.3897033790812794</v>
      </c>
      <c r="P43" s="84">
        <v>1.312777220349457</v>
      </c>
    </row>
    <row r="44" spans="2:16">
      <c r="D44" t="s">
        <v>111</v>
      </c>
      <c r="E44" s="49" t="s">
        <v>157</v>
      </c>
      <c r="I44" s="84">
        <v>-46.842492260061938</v>
      </c>
      <c r="J44" s="84">
        <v>-104.65599542661131</v>
      </c>
      <c r="K44" s="84">
        <v>-178.91990846681966</v>
      </c>
      <c r="L44" s="84">
        <v>18.611029838602569</v>
      </c>
      <c r="M44" s="84">
        <v>4.948133451315746</v>
      </c>
      <c r="N44" s="84">
        <v>2.8744028588646797</v>
      </c>
      <c r="O44" s="84">
        <v>2.2084667809308591</v>
      </c>
      <c r="P44" s="84">
        <v>1.8356774834843392</v>
      </c>
    </row>
    <row r="47" spans="2:16" ht="13.25" thickBot="1">
      <c r="B47" s="36" t="s">
        <v>161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</row>
    <row r="49" spans="3:16">
      <c r="C49" s="38" t="s">
        <v>116</v>
      </c>
    </row>
    <row r="50" spans="3:16">
      <c r="D50" t="s">
        <v>46</v>
      </c>
      <c r="E50" s="49" t="s">
        <v>212</v>
      </c>
      <c r="I50">
        <v>3194.1</v>
      </c>
      <c r="J50">
        <v>3524.7</v>
      </c>
      <c r="K50">
        <v>3829.2</v>
      </c>
      <c r="L50">
        <v>3933.2369399999998</v>
      </c>
      <c r="M50">
        <v>4040.2997465879998</v>
      </c>
      <c r="N50">
        <v>4150.4786404449569</v>
      </c>
      <c r="O50">
        <v>4120.4796983969991</v>
      </c>
      <c r="P50">
        <v>4161.6844953809705</v>
      </c>
    </row>
    <row r="51" spans="3:16">
      <c r="D51" t="s">
        <v>156</v>
      </c>
      <c r="E51" s="49" t="s">
        <v>79</v>
      </c>
      <c r="J51" s="44">
        <v>0.10350333427256508</v>
      </c>
      <c r="K51" s="44">
        <v>8.6390331092007777E-2</v>
      </c>
      <c r="L51" s="44">
        <v>2.7169366969602038E-2</v>
      </c>
      <c r="M51" s="44">
        <v>2.7220024682265809E-2</v>
      </c>
      <c r="N51" s="44">
        <v>2.7269980141944261E-2</v>
      </c>
      <c r="O51" s="44">
        <v>-7.2278271126681171E-3</v>
      </c>
      <c r="P51" s="44">
        <v>1.0000000000000231E-2</v>
      </c>
    </row>
    <row r="52" spans="3:16">
      <c r="C52" s="38" t="s">
        <v>4</v>
      </c>
      <c r="E52" s="49"/>
    </row>
    <row r="53" spans="3:16">
      <c r="D53" t="s">
        <v>4</v>
      </c>
      <c r="E53" s="49" t="s">
        <v>212</v>
      </c>
      <c r="I53">
        <v>390.39999999999964</v>
      </c>
      <c r="J53">
        <v>418.29999999999944</v>
      </c>
      <c r="K53">
        <v>391.49999999999955</v>
      </c>
      <c r="L53">
        <v>431.4106199999992</v>
      </c>
      <c r="M53">
        <v>418.32958359599979</v>
      </c>
      <c r="N53">
        <v>403.99681306956109</v>
      </c>
      <c r="O53">
        <v>278.17021150429946</v>
      </c>
      <c r="P53">
        <v>204.10572388149012</v>
      </c>
    </row>
    <row r="54" spans="3:16">
      <c r="D54" t="s">
        <v>156</v>
      </c>
      <c r="E54" s="49" t="s">
        <v>79</v>
      </c>
      <c r="J54" s="44">
        <v>7.1465163934425702E-2</v>
      </c>
      <c r="K54" s="44">
        <v>-6.4068850107578124E-2</v>
      </c>
      <c r="L54" s="44">
        <v>0.10194283524904146</v>
      </c>
      <c r="M54" s="44">
        <v>-3.0321544713014736E-2</v>
      </c>
      <c r="N54" s="44">
        <v>-3.4261909959206971E-2</v>
      </c>
      <c r="O54" s="44">
        <v>-0.31145444096262342</v>
      </c>
      <c r="P54" s="44">
        <v>-0.26625599923974819</v>
      </c>
    </row>
    <row r="55" spans="3:16">
      <c r="D55" t="s">
        <v>107</v>
      </c>
      <c r="E55" s="49" t="s">
        <v>79</v>
      </c>
      <c r="I55" s="44">
        <v>0.12222535299458365</v>
      </c>
      <c r="J55" s="44">
        <v>0.11867676681703392</v>
      </c>
      <c r="K55" s="44">
        <v>0.10224067690379179</v>
      </c>
      <c r="L55" s="44">
        <v>0.10968335408748582</v>
      </c>
      <c r="M55" s="44">
        <v>0.10353924456948416</v>
      </c>
      <c r="N55" s="44">
        <v>9.7337403241340409E-2</v>
      </c>
      <c r="O55" s="44">
        <v>6.7509181421890455E-2</v>
      </c>
      <c r="P55" s="44">
        <v>4.9044016697571829E-2</v>
      </c>
    </row>
    <row r="56" spans="3:16">
      <c r="C56" s="38" t="s">
        <v>143</v>
      </c>
      <c r="E56" s="49"/>
    </row>
    <row r="57" spans="3:16">
      <c r="D57" t="s">
        <v>143</v>
      </c>
      <c r="E57" s="49" t="s">
        <v>212</v>
      </c>
      <c r="I57">
        <v>291.89999999999964</v>
      </c>
      <c r="J57">
        <v>317.99999999999943</v>
      </c>
      <c r="K57">
        <v>263.19999999999953</v>
      </c>
      <c r="L57">
        <v>162.51082215899686</v>
      </c>
      <c r="M57">
        <v>146.69451495029293</v>
      </c>
      <c r="N57">
        <v>121.77827803588733</v>
      </c>
      <c r="O57">
        <v>16.731711699586384</v>
      </c>
      <c r="P57">
        <v>-53.829584700721895</v>
      </c>
    </row>
    <row r="58" spans="3:16">
      <c r="D58" t="s">
        <v>156</v>
      </c>
      <c r="E58" s="49" t="s">
        <v>79</v>
      </c>
      <c r="J58" s="44">
        <v>8.9414182939362208E-2</v>
      </c>
      <c r="K58" s="44">
        <v>-0.17232704402515719</v>
      </c>
      <c r="L58" s="44">
        <v>-0.38255766656915979</v>
      </c>
      <c r="M58" s="44">
        <v>-9.7324639667563884E-2</v>
      </c>
      <c r="N58" s="44">
        <v>-0.16985118307148983</v>
      </c>
      <c r="O58" s="44">
        <v>-0.86260512162394309</v>
      </c>
      <c r="P58" s="44">
        <v>-4.2172192341834691</v>
      </c>
    </row>
    <row r="59" spans="3:16">
      <c r="D59" t="s">
        <v>108</v>
      </c>
      <c r="E59" s="49" t="s">
        <v>79</v>
      </c>
      <c r="I59" s="44">
        <v>9.1387245233398973E-2</v>
      </c>
      <c r="J59" s="44">
        <v>9.0220444293131169E-2</v>
      </c>
      <c r="K59" s="44">
        <v>6.8734983808628317E-2</v>
      </c>
      <c r="L59" s="44">
        <v>4.131732327292667E-2</v>
      </c>
      <c r="M59" s="44">
        <v>3.6307829654018922E-2</v>
      </c>
      <c r="N59" s="44">
        <v>2.9340779361975454E-2</v>
      </c>
      <c r="O59" s="44">
        <v>4.0606222877631369E-3</v>
      </c>
      <c r="P59" s="44">
        <v>-1.2934566462322418E-2</v>
      </c>
    </row>
    <row r="60" spans="3:16">
      <c r="C60" s="38" t="s">
        <v>112</v>
      </c>
      <c r="E60" s="49"/>
    </row>
    <row r="61" spans="3:16">
      <c r="D61" t="s">
        <v>109</v>
      </c>
      <c r="E61" s="49" t="s">
        <v>79</v>
      </c>
      <c r="I61" s="44">
        <v>-7.060274767801852</v>
      </c>
      <c r="J61" s="44">
        <v>-11.36201229098182</v>
      </c>
      <c r="K61" s="44">
        <v>-16.730231375540313</v>
      </c>
      <c r="L61" s="44">
        <v>6.3127873972139996</v>
      </c>
      <c r="M61" s="44">
        <v>0.69348943174453603</v>
      </c>
      <c r="N61" s="44">
        <v>0.32769640081465734</v>
      </c>
      <c r="O61" s="44">
        <v>3.7469052859845219E-2</v>
      </c>
      <c r="P61" s="44">
        <v>-0.11646892385058522</v>
      </c>
    </row>
    <row r="62" spans="3:16">
      <c r="D62" t="s">
        <v>108</v>
      </c>
      <c r="E62" s="49" t="s">
        <v>79</v>
      </c>
      <c r="I62" s="44">
        <v>9.1387245233398973E-2</v>
      </c>
      <c r="J62" s="44">
        <v>9.0220444293131169E-2</v>
      </c>
      <c r="K62" s="44">
        <v>6.8734983808628317E-2</v>
      </c>
      <c r="L62" s="44">
        <v>4.131732327292667E-2</v>
      </c>
      <c r="M62" s="44">
        <v>3.6307829654018922E-2</v>
      </c>
      <c r="N62" s="44">
        <v>2.9340779361975454E-2</v>
      </c>
      <c r="O62" s="44">
        <v>4.0606222877631369E-3</v>
      </c>
      <c r="P62" s="44">
        <v>-1.2934566462322418E-2</v>
      </c>
    </row>
    <row r="63" spans="3:16">
      <c r="D63" t="s">
        <v>110</v>
      </c>
      <c r="E63" s="49" t="s">
        <v>157</v>
      </c>
      <c r="I63" s="84">
        <v>1.6492861922819539</v>
      </c>
      <c r="J63" s="84">
        <v>1.2033339797180851</v>
      </c>
      <c r="K63" s="84">
        <v>1.3603963097491516</v>
      </c>
      <c r="L63" s="84">
        <v>1.6490330599337395</v>
      </c>
      <c r="M63" s="84">
        <v>1.568322401158055</v>
      </c>
      <c r="N63" s="84">
        <v>1.49728258448713</v>
      </c>
      <c r="O63" s="84">
        <v>1.4098413185084364</v>
      </c>
      <c r="P63" s="84">
        <v>1.3562231450228617</v>
      </c>
    </row>
    <row r="64" spans="3:16">
      <c r="D64" t="s">
        <v>111</v>
      </c>
      <c r="E64" s="49" t="s">
        <v>157</v>
      </c>
      <c r="I64" s="84">
        <v>-46.842492260061938</v>
      </c>
      <c r="J64" s="84">
        <v>-104.65599542661131</v>
      </c>
      <c r="K64" s="84">
        <v>-178.91990846681966</v>
      </c>
      <c r="L64" s="84">
        <v>92.653029195556257</v>
      </c>
      <c r="M64" s="84">
        <v>12.178791969647653</v>
      </c>
      <c r="N64" s="84">
        <v>7.4592687168137521</v>
      </c>
      <c r="O64" s="84">
        <v>6.5450035547408474</v>
      </c>
      <c r="P64" s="84">
        <v>6.6393724847369056</v>
      </c>
    </row>
    <row r="66" spans="1:16">
      <c r="A66" s="85" t="s">
        <v>162</v>
      </c>
    </row>
    <row r="67" spans="1:16" ht="13.25" thickBot="1">
      <c r="B67" s="36" t="str">
        <f>"Analysis Based on : "&amp;INDEX(L_Scenarios,S_Scenarios)&amp;" Scenario"</f>
        <v>Analysis Based on : Worst Case Scenario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9" spans="1:16">
      <c r="C69" s="38" t="s">
        <v>116</v>
      </c>
    </row>
    <row r="70" spans="1:16">
      <c r="D70" t="str">
        <f>Model!D12</f>
        <v>Revenue</v>
      </c>
      <c r="E70" s="49" t="s">
        <v>212</v>
      </c>
      <c r="I70">
        <f>Model!I12</f>
        <v>3194.1</v>
      </c>
      <c r="J70">
        <f>Model!J12</f>
        <v>3524.7</v>
      </c>
      <c r="K70">
        <f>Model!K12</f>
        <v>3829.2</v>
      </c>
      <c r="L70">
        <f>Model!L12</f>
        <v>3933.2369399999998</v>
      </c>
      <c r="M70">
        <f>Model!M12</f>
        <v>4040.2997465879998</v>
      </c>
      <c r="N70">
        <f>Model!N12</f>
        <v>4150.4786404449569</v>
      </c>
      <c r="O70">
        <f>Model!O12</f>
        <v>4120.4796983969991</v>
      </c>
      <c r="P70">
        <f>Model!P12</f>
        <v>4161.6844953809705</v>
      </c>
    </row>
    <row r="71" spans="1:16">
      <c r="D71" t="s">
        <v>156</v>
      </c>
      <c r="E71" s="49" t="s">
        <v>79</v>
      </c>
      <c r="J71" s="44">
        <f>J70/I70-1</f>
        <v>0.10350333427256508</v>
      </c>
      <c r="K71" s="44">
        <f t="shared" ref="K71:P71" si="1">K70/J70-1</f>
        <v>8.6390331092007777E-2</v>
      </c>
      <c r="L71" s="44">
        <f t="shared" si="1"/>
        <v>2.7169366969602038E-2</v>
      </c>
      <c r="M71" s="44">
        <f t="shared" si="1"/>
        <v>2.7220024682265809E-2</v>
      </c>
      <c r="N71" s="44">
        <f t="shared" si="1"/>
        <v>2.7269980141944261E-2</v>
      </c>
      <c r="O71" s="44">
        <f t="shared" si="1"/>
        <v>-7.2278271126681171E-3</v>
      </c>
      <c r="P71" s="44">
        <f t="shared" si="1"/>
        <v>1.0000000000000231E-2</v>
      </c>
    </row>
    <row r="72" spans="1:16">
      <c r="C72" s="38" t="s">
        <v>4</v>
      </c>
      <c r="E72" s="49"/>
    </row>
    <row r="73" spans="1:16">
      <c r="D73" t="str">
        <f>Model!D19</f>
        <v>EBITDA</v>
      </c>
      <c r="E73" s="49" t="s">
        <v>212</v>
      </c>
      <c r="I73">
        <f>Model!I19</f>
        <v>390.39999999999964</v>
      </c>
      <c r="J73">
        <f>Model!J19</f>
        <v>418.29999999999944</v>
      </c>
      <c r="K73">
        <f>Model!K19</f>
        <v>391.49999999999955</v>
      </c>
      <c r="L73">
        <f>Model!L19</f>
        <v>431.4106199999992</v>
      </c>
      <c r="M73">
        <f>Model!M19</f>
        <v>418.32958359599979</v>
      </c>
      <c r="N73">
        <f>Model!N19</f>
        <v>403.99681306956109</v>
      </c>
      <c r="O73">
        <f>Model!O19</f>
        <v>278.17021150429946</v>
      </c>
      <c r="P73">
        <f>Model!P19</f>
        <v>204.10572388149012</v>
      </c>
    </row>
    <row r="74" spans="1:16">
      <c r="D74" t="s">
        <v>156</v>
      </c>
      <c r="E74" s="49" t="s">
        <v>79</v>
      </c>
      <c r="J74" s="44">
        <f>J73/I73-1</f>
        <v>7.1465163934425702E-2</v>
      </c>
      <c r="K74" s="44">
        <f t="shared" ref="K74" si="2">K73/J73-1</f>
        <v>-6.4068850107578124E-2</v>
      </c>
      <c r="L74" s="44">
        <f t="shared" ref="L74" si="3">L73/K73-1</f>
        <v>0.10194283524904146</v>
      </c>
      <c r="M74" s="44">
        <f t="shared" ref="M74" si="4">M73/L73-1</f>
        <v>-3.0321544713014736E-2</v>
      </c>
      <c r="N74" s="44">
        <f t="shared" ref="N74" si="5">N73/M73-1</f>
        <v>-3.4261909959206971E-2</v>
      </c>
      <c r="O74" s="44">
        <f t="shared" ref="O74" si="6">O73/N73-1</f>
        <v>-0.31145444096262342</v>
      </c>
      <c r="P74" s="44">
        <f t="shared" ref="P74" si="7">P73/O73-1</f>
        <v>-0.26625599923974819</v>
      </c>
    </row>
    <row r="75" spans="1:16">
      <c r="D75" t="str">
        <f>Model!D37</f>
        <v>EBITA Margin</v>
      </c>
      <c r="E75" s="49" t="s">
        <v>79</v>
      </c>
      <c r="I75" s="44">
        <f>Model!I37</f>
        <v>0.12222535299458365</v>
      </c>
      <c r="J75" s="44">
        <f>Model!J37</f>
        <v>0.11867676681703392</v>
      </c>
      <c r="K75" s="44">
        <f>Model!K37</f>
        <v>0.10224067690379179</v>
      </c>
      <c r="L75" s="44">
        <f>Model!L37</f>
        <v>0.10968335408748582</v>
      </c>
      <c r="M75" s="44">
        <f>Model!M37</f>
        <v>0.10353924456948416</v>
      </c>
      <c r="N75" s="44">
        <f>Model!N37</f>
        <v>9.7337403241340409E-2</v>
      </c>
      <c r="O75" s="44">
        <f>Model!O37</f>
        <v>6.7509181421890455E-2</v>
      </c>
      <c r="P75" s="44">
        <f>Model!P37</f>
        <v>4.9044016697571829E-2</v>
      </c>
    </row>
    <row r="76" spans="1:16">
      <c r="C76" s="38" t="s">
        <v>143</v>
      </c>
      <c r="E76" s="49"/>
    </row>
    <row r="77" spans="1:16">
      <c r="D77" t="s">
        <v>143</v>
      </c>
      <c r="E77" s="49" t="s">
        <v>212</v>
      </c>
      <c r="I77">
        <f>Model!I32</f>
        <v>291.89999999999964</v>
      </c>
      <c r="J77">
        <f>Model!J32</f>
        <v>317.99999999999943</v>
      </c>
      <c r="K77">
        <f>Model!K32</f>
        <v>263.19999999999953</v>
      </c>
      <c r="L77">
        <f ca="1">Model!L32</f>
        <v>175.01213928688264</v>
      </c>
      <c r="M77">
        <f ca="1">Model!M32</f>
        <v>159.86359459281817</v>
      </c>
      <c r="N77">
        <f ca="1">Model!N32</f>
        <v>135.24173951055289</v>
      </c>
      <c r="O77">
        <f ca="1">Model!O32</f>
        <v>30.408067243542995</v>
      </c>
      <c r="P77">
        <f ca="1">Model!P32</f>
        <v>-40.202445897023182</v>
      </c>
    </row>
    <row r="78" spans="1:16">
      <c r="D78" t="s">
        <v>156</v>
      </c>
      <c r="E78" s="49" t="s">
        <v>79</v>
      </c>
      <c r="J78" s="44">
        <f>J77/I77-1</f>
        <v>8.9414182939362208E-2</v>
      </c>
      <c r="K78" s="44">
        <f t="shared" ref="K78" si="8">K77/J77-1</f>
        <v>-0.17232704402515719</v>
      </c>
      <c r="L78" s="44">
        <f t="shared" ref="L78" ca="1" si="9">L77/K77-1</f>
        <v>-0.33506026106807385</v>
      </c>
      <c r="M78" s="44">
        <f t="shared" ref="M78" ca="1" si="10">M77/L77-1</f>
        <v>-8.6557108299971874E-2</v>
      </c>
      <c r="N78" s="44">
        <f t="shared" ref="N78" ca="1" si="11">N77/M77-1</f>
        <v>-0.15401789972869417</v>
      </c>
      <c r="O78" s="44">
        <f t="shared" ref="O78" ca="1" si="12">O77/N77-1</f>
        <v>-0.77515767429795401</v>
      </c>
      <c r="P78" s="44">
        <f t="shared" ref="P78" ca="1" si="13">P77/O77-1</f>
        <v>-2.3220980332303092</v>
      </c>
    </row>
    <row r="79" spans="1:16">
      <c r="D79" t="str">
        <f>Model!D40</f>
        <v>Net Profit Margin</v>
      </c>
      <c r="E79" s="49" t="s">
        <v>79</v>
      </c>
      <c r="I79" s="44">
        <f>Model!I40</f>
        <v>9.1387245233398973E-2</v>
      </c>
      <c r="J79" s="44">
        <f>Model!J40</f>
        <v>9.0220444293131169E-2</v>
      </c>
      <c r="K79" s="44">
        <f>Model!K40</f>
        <v>6.8734983808628317E-2</v>
      </c>
      <c r="L79" s="44">
        <f ca="1">Model!L40</f>
        <v>4.4495702129473708E-2</v>
      </c>
      <c r="M79" s="44">
        <f ca="1">Model!M40</f>
        <v>3.9567261000330894E-2</v>
      </c>
      <c r="N79" s="44">
        <f ca="1">Model!N40</f>
        <v>3.258461281854811E-2</v>
      </c>
      <c r="O79" s="44">
        <f ca="1">Model!O40</f>
        <v>7.3797396102625442E-3</v>
      </c>
      <c r="P79" s="44">
        <f ca="1">Model!P40</f>
        <v>-9.660137846019717E-3</v>
      </c>
    </row>
    <row r="80" spans="1:16">
      <c r="C80" s="38" t="s">
        <v>112</v>
      </c>
      <c r="E80" s="49"/>
    </row>
    <row r="81" spans="4:16">
      <c r="D81" t="str">
        <f>Model!D39</f>
        <v>ROE</v>
      </c>
      <c r="E81" s="49" t="s">
        <v>79</v>
      </c>
      <c r="I81" s="44">
        <f>Model!I39</f>
        <v>-7.060274767801852</v>
      </c>
      <c r="J81" s="44">
        <f>Model!J39</f>
        <v>-11.36201229098182</v>
      </c>
      <c r="K81" s="44">
        <f>Model!K39</f>
        <v>-16.730231375540313</v>
      </c>
      <c r="L81" s="44">
        <f ca="1">Model!L39</f>
        <v>5.0027618178131901</v>
      </c>
      <c r="M81" s="44">
        <f ca="1">Model!M39</f>
        <v>0.69737317179026925</v>
      </c>
      <c r="N81" s="44">
        <f ca="1">Model!N39</f>
        <v>0.34180083504823061</v>
      </c>
      <c r="O81" s="44">
        <f ca="1">Model!O39</f>
        <v>6.4018849587545959E-2</v>
      </c>
      <c r="P81" s="44">
        <f ca="1">Model!P39</f>
        <v>-8.3271132543683651E-2</v>
      </c>
    </row>
    <row r="82" spans="4:16">
      <c r="D82" t="str">
        <f>Model!D40</f>
        <v>Net Profit Margin</v>
      </c>
      <c r="E82" s="49" t="s">
        <v>79</v>
      </c>
      <c r="I82" s="44">
        <f>Model!I40</f>
        <v>9.1387245233398973E-2</v>
      </c>
      <c r="J82" s="44">
        <f>Model!J40</f>
        <v>9.0220444293131169E-2</v>
      </c>
      <c r="K82" s="44">
        <f>Model!K40</f>
        <v>6.8734983808628317E-2</v>
      </c>
      <c r="L82" s="44">
        <f ca="1">Model!L40</f>
        <v>4.4495702129473708E-2</v>
      </c>
      <c r="M82" s="44">
        <f ca="1">Model!M40</f>
        <v>3.9567261000330894E-2</v>
      </c>
      <c r="N82" s="44">
        <f ca="1">Model!N40</f>
        <v>3.258461281854811E-2</v>
      </c>
      <c r="O82" s="44">
        <f ca="1">Model!O40</f>
        <v>7.3797396102625442E-3</v>
      </c>
      <c r="P82" s="44">
        <f ca="1">Model!P40</f>
        <v>-9.660137846019717E-3</v>
      </c>
    </row>
    <row r="83" spans="4:16">
      <c r="D83" t="str">
        <f>Model!D41</f>
        <v>Asset Turnover</v>
      </c>
      <c r="E83" s="49" t="s">
        <v>157</v>
      </c>
      <c r="I83" s="84">
        <f>Model!I41</f>
        <v>1.6492861922819539</v>
      </c>
      <c r="J83" s="84">
        <f>Model!J41</f>
        <v>1.2033339797180851</v>
      </c>
      <c r="K83" s="84">
        <f>Model!K41</f>
        <v>1.3603963097491516</v>
      </c>
      <c r="L83" s="84">
        <f ca="1">Model!L41</f>
        <v>1.6604925665942565</v>
      </c>
      <c r="M83" s="84">
        <f ca="1">Model!M41</f>
        <v>1.5787387718337564</v>
      </c>
      <c r="N83" s="84">
        <f ca="1">Model!N41</f>
        <v>1.5068241982355517</v>
      </c>
      <c r="O83" s="84">
        <f ca="1">Model!O41</f>
        <v>1.418458797892644</v>
      </c>
      <c r="P83" s="84">
        <f ca="1">Model!P41</f>
        <v>1.3643265047216646</v>
      </c>
    </row>
    <row r="84" spans="4:16">
      <c r="D84" t="str">
        <f>Model!D42</f>
        <v>Financial Leverage</v>
      </c>
      <c r="E84" s="49" t="s">
        <v>157</v>
      </c>
      <c r="I84" s="84">
        <f>Model!I42</f>
        <v>-46.842492260061938</v>
      </c>
      <c r="J84" s="84">
        <f>Model!J42</f>
        <v>-104.65599542661131</v>
      </c>
      <c r="K84" s="84">
        <f>Model!K42</f>
        <v>-178.91990846681966</v>
      </c>
      <c r="L84" s="84">
        <f ca="1">Model!L42</f>
        <v>67.710313810792954</v>
      </c>
      <c r="M84" s="84">
        <f ca="1">Model!M42</f>
        <v>11.163978034050883</v>
      </c>
      <c r="N84" s="84">
        <f ca="1">Model!N42</f>
        <v>6.9614221139571848</v>
      </c>
      <c r="O84" s="84">
        <f ca="1">Model!O42</f>
        <v>6.1157553239966091</v>
      </c>
      <c r="P84" s="84">
        <f ca="1">Model!P42</f>
        <v>6.3181921775290864</v>
      </c>
    </row>
  </sheetData>
  <mergeCells count="2">
    <mergeCell ref="I3:J3"/>
    <mergeCell ref="K3:L3"/>
  </mergeCells>
  <conditionalFormatting sqref="I3:J3">
    <cfRule type="expression" dxfId="3" priority="1">
      <formula>BSCheck&lt;&gt;0</formula>
    </cfRule>
  </conditionalFormatting>
  <printOptions headings="1"/>
  <pageMargins left="0.70866141732283472" right="0.70866141732283472" top="0.55118110236220474" bottom="0.55118110236220474" header="0.31496062992125984" footer="0.31496062992125984"/>
  <pageSetup scale="91" fitToHeight="0" orientation="landscape" r:id="rId1"/>
  <headerFooter>
    <oddFooter>&amp;LCTD Industries
Printed on: &amp;D @ &amp;T&amp;CPage &amp;P of &amp;N&amp;RSheet Name: &amp;A
File Name: &amp;F</oddFooter>
  </headerFooter>
  <rowBreaks count="1" manualBreakCount="1">
    <brk id="45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13</xdr:col>
                    <xdr:colOff>599846</xdr:colOff>
                    <xdr:row>65</xdr:row>
                    <xdr:rowOff>117043</xdr:rowOff>
                  </from>
                  <to>
                    <xdr:col>16</xdr:col>
                    <xdr:colOff>7315</xdr:colOff>
                    <xdr:row>66</xdr:row>
                    <xdr:rowOff>138989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B85E3A5A-3A7B-49B5-8092-81B5C4FE22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Summary!I70:P70</xm:f>
              <xm:sqref>F70</xm:sqref>
            </x14:sparkline>
            <x14:sparkline>
              <xm:f>Summary!I71:P71</xm:f>
              <xm:sqref>F71</xm:sqref>
            </x14:sparkline>
            <x14:sparkline>
              <xm:f>Summary!I72:P72</xm:f>
              <xm:sqref>F72</xm:sqref>
            </x14:sparkline>
            <x14:sparkline>
              <xm:f>Summary!I73:P73</xm:f>
              <xm:sqref>F73</xm:sqref>
            </x14:sparkline>
            <x14:sparkline>
              <xm:f>Summary!I74:P74</xm:f>
              <xm:sqref>F74</xm:sqref>
            </x14:sparkline>
            <x14:sparkline>
              <xm:f>Summary!I75:P75</xm:f>
              <xm:sqref>F75</xm:sqref>
            </x14:sparkline>
            <x14:sparkline>
              <xm:f>Summary!I76:P76</xm:f>
              <xm:sqref>F76</xm:sqref>
            </x14:sparkline>
            <x14:sparkline>
              <xm:f>Summary!I77:P77</xm:f>
              <xm:sqref>F77</xm:sqref>
            </x14:sparkline>
            <x14:sparkline>
              <xm:f>Summary!I78:P78</xm:f>
              <xm:sqref>F78</xm:sqref>
            </x14:sparkline>
            <x14:sparkline>
              <xm:f>Summary!I79:P79</xm:f>
              <xm:sqref>F79</xm:sqref>
            </x14:sparkline>
            <x14:sparkline>
              <xm:f>Summary!I80:P80</xm:f>
              <xm:sqref>F80</xm:sqref>
            </x14:sparkline>
            <x14:sparkline>
              <xm:f>Summary!I81:P81</xm:f>
              <xm:sqref>F81</xm:sqref>
            </x14:sparkline>
            <x14:sparkline>
              <xm:f>Summary!I82:P82</xm:f>
              <xm:sqref>F82</xm:sqref>
            </x14:sparkline>
            <x14:sparkline>
              <xm:f>Summary!I83:P83</xm:f>
              <xm:sqref>F83</xm:sqref>
            </x14:sparkline>
            <x14:sparkline>
              <xm:f>Summary!I84:P84</xm:f>
              <xm:sqref>F84</xm:sqref>
            </x14:sparkline>
          </x14:sparklines>
        </x14:sparklineGroup>
        <x14:sparklineGroup displayEmptyCellsAs="gap" negative="1" xr2:uid="{815A88E7-4952-4004-BAF4-BAB9C18AA6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Summary!I11:P11</xm:f>
              <xm:sqref>F11</xm:sqref>
            </x14:sparkline>
            <x14:sparkline>
              <xm:f>Summary!I12:P12</xm:f>
              <xm:sqref>F12</xm:sqref>
            </x14:sparkline>
            <x14:sparkline>
              <xm:f>Summary!I13:P13</xm:f>
              <xm:sqref>F13</xm:sqref>
            </x14:sparkline>
            <x14:sparkline>
              <xm:f>Summary!I14:P14</xm:f>
              <xm:sqref>F14</xm:sqref>
            </x14:sparkline>
            <x14:sparkline>
              <xm:f>Summary!I15:P15</xm:f>
              <xm:sqref>F15</xm:sqref>
            </x14:sparkline>
            <x14:sparkline>
              <xm:f>Summary!I16:P16</xm:f>
              <xm:sqref>F16</xm:sqref>
            </x14:sparkline>
            <x14:sparkline>
              <xm:f>Summary!I17:P17</xm:f>
              <xm:sqref>F17</xm:sqref>
            </x14:sparkline>
            <x14:sparkline>
              <xm:f>Summary!I18:P18</xm:f>
              <xm:sqref>F18</xm:sqref>
            </x14:sparkline>
            <x14:sparkline>
              <xm:f>Summary!I19:P19</xm:f>
              <xm:sqref>F19</xm:sqref>
            </x14:sparkline>
            <x14:sparkline>
              <xm:f>Summary!I20:P20</xm:f>
              <xm:sqref>F20</xm:sqref>
            </x14:sparkline>
            <x14:sparkline>
              <xm:f>Summary!I21:P21</xm:f>
              <xm:sqref>F21</xm:sqref>
            </x14:sparkline>
            <x14:sparkline>
              <xm:f>Summary!I22:P22</xm:f>
              <xm:sqref>F22</xm:sqref>
            </x14:sparkline>
            <x14:sparkline>
              <xm:f>Summary!I23:P23</xm:f>
              <xm:sqref>F23</xm:sqref>
            </x14:sparkline>
            <x14:sparkline>
              <xm:f>Summary!I24:P24</xm:f>
              <xm:sqref>F24</xm:sqref>
            </x14:sparkline>
            <x14:sparkline>
              <xm:f>Summary!I25:P25</xm:f>
              <xm:sqref>F25</xm:sqref>
            </x14:sparkline>
          </x14:sparklines>
        </x14:sparklineGroup>
        <x14:sparklineGroup displayEmptyCellsAs="gap" negative="1" xr2:uid="{FAA1AB27-4FCD-4002-BF07-E8E13A934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Summary!I30:P30</xm:f>
              <xm:sqref>F30</xm:sqref>
            </x14:sparkline>
            <x14:sparkline>
              <xm:f>Summary!I31:P31</xm:f>
              <xm:sqref>F31</xm:sqref>
            </x14:sparkline>
            <x14:sparkline>
              <xm:f>Summary!I32:P32</xm:f>
              <xm:sqref>F32</xm:sqref>
            </x14:sparkline>
            <x14:sparkline>
              <xm:f>Summary!I33:P33</xm:f>
              <xm:sqref>F33</xm:sqref>
            </x14:sparkline>
            <x14:sparkline>
              <xm:f>Summary!I34:P34</xm:f>
              <xm:sqref>F34</xm:sqref>
            </x14:sparkline>
            <x14:sparkline>
              <xm:f>Summary!I35:P35</xm:f>
              <xm:sqref>F35</xm:sqref>
            </x14:sparkline>
            <x14:sparkline>
              <xm:f>Summary!I36:P36</xm:f>
              <xm:sqref>F36</xm:sqref>
            </x14:sparkline>
            <x14:sparkline>
              <xm:f>Summary!I37:P37</xm:f>
              <xm:sqref>F37</xm:sqref>
            </x14:sparkline>
            <x14:sparkline>
              <xm:f>Summary!I38:P38</xm:f>
              <xm:sqref>F38</xm:sqref>
            </x14:sparkline>
            <x14:sparkline>
              <xm:f>Summary!I39:P39</xm:f>
              <xm:sqref>F39</xm:sqref>
            </x14:sparkline>
            <x14:sparkline>
              <xm:f>Summary!I40:P40</xm:f>
              <xm:sqref>F40</xm:sqref>
            </x14:sparkline>
            <x14:sparkline>
              <xm:f>Summary!I41:P41</xm:f>
              <xm:sqref>F41</xm:sqref>
            </x14:sparkline>
            <x14:sparkline>
              <xm:f>Summary!I42:P42</xm:f>
              <xm:sqref>F42</xm:sqref>
            </x14:sparkline>
            <x14:sparkline>
              <xm:f>Summary!I43:P43</xm:f>
              <xm:sqref>F43</xm:sqref>
            </x14:sparkline>
            <x14:sparkline>
              <xm:f>Summary!I44:P44</xm:f>
              <xm:sqref>F44</xm:sqref>
            </x14:sparkline>
          </x14:sparklines>
        </x14:sparklineGroup>
        <x14:sparklineGroup displayEmptyCellsAs="gap" negative="1" xr2:uid="{73125A04-D0BA-4F5E-8809-00B5A9745B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Summary!I50:P50</xm:f>
              <xm:sqref>F50</xm:sqref>
            </x14:sparkline>
            <x14:sparkline>
              <xm:f>Summary!I51:P51</xm:f>
              <xm:sqref>F51</xm:sqref>
            </x14:sparkline>
            <x14:sparkline>
              <xm:f>Summary!I52:P52</xm:f>
              <xm:sqref>F52</xm:sqref>
            </x14:sparkline>
            <x14:sparkline>
              <xm:f>Summary!I53:P53</xm:f>
              <xm:sqref>F53</xm:sqref>
            </x14:sparkline>
            <x14:sparkline>
              <xm:f>Summary!I54:P54</xm:f>
              <xm:sqref>F54</xm:sqref>
            </x14:sparkline>
            <x14:sparkline>
              <xm:f>Summary!I55:P55</xm:f>
              <xm:sqref>F55</xm:sqref>
            </x14:sparkline>
            <x14:sparkline>
              <xm:f>Summary!I56:P56</xm:f>
              <xm:sqref>F56</xm:sqref>
            </x14:sparkline>
            <x14:sparkline>
              <xm:f>Summary!I57:P57</xm:f>
              <xm:sqref>F57</xm:sqref>
            </x14:sparkline>
            <x14:sparkline>
              <xm:f>Summary!I58:P58</xm:f>
              <xm:sqref>F58</xm:sqref>
            </x14:sparkline>
            <x14:sparkline>
              <xm:f>Summary!I59:P59</xm:f>
              <xm:sqref>F59</xm:sqref>
            </x14:sparkline>
            <x14:sparkline>
              <xm:f>Summary!I60:P60</xm:f>
              <xm:sqref>F60</xm:sqref>
            </x14:sparkline>
            <x14:sparkline>
              <xm:f>Summary!I61:P61</xm:f>
              <xm:sqref>F61</xm:sqref>
            </x14:sparkline>
            <x14:sparkline>
              <xm:f>Summary!I62:P62</xm:f>
              <xm:sqref>F62</xm:sqref>
            </x14:sparkline>
            <x14:sparkline>
              <xm:f>Summary!I63:P63</xm:f>
              <xm:sqref>F63</xm:sqref>
            </x14:sparkline>
            <x14:sparkline>
              <xm:f>Summary!I64:P64</xm:f>
              <xm:sqref>F64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B4C5-4AD0-4D0E-84A2-311AB9E1B67F}">
  <sheetPr codeName="Sheet4">
    <pageSetUpPr fitToPage="1"/>
  </sheetPr>
  <dimension ref="A1:P147"/>
  <sheetViews>
    <sheetView showGridLines="0" zoomScale="145" zoomScaleNormal="145" workbookViewId="0"/>
  </sheetViews>
  <sheetFormatPr defaultRowHeight="12.7"/>
  <cols>
    <col min="1" max="3" width="2.88671875" customWidth="1"/>
    <col min="4" max="4" width="50.33203125" bestFit="1" customWidth="1"/>
    <col min="6" max="6" width="11.44140625" bestFit="1" customWidth="1"/>
    <col min="7" max="8" width="3.5546875" customWidth="1"/>
    <col min="9" max="10" width="9" bestFit="1" customWidth="1"/>
    <col min="11" max="11" width="12.21875" bestFit="1" customWidth="1"/>
    <col min="12" max="12" width="11" bestFit="1" customWidth="1"/>
    <col min="13" max="16" width="9.88671875" bestFit="1" customWidth="1"/>
  </cols>
  <sheetData>
    <row r="1" spans="1:16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5.55">
      <c r="A2" s="31"/>
      <c r="B2" s="32" t="str">
        <f>Cover!$C$7</f>
        <v>CTD Industries</v>
      </c>
      <c r="C2" s="31"/>
      <c r="D2" s="31"/>
      <c r="E2" s="31"/>
      <c r="F2" s="31"/>
      <c r="G2" s="31"/>
      <c r="H2" s="31"/>
      <c r="I2" s="35" t="str">
        <f>"Financial Forecast: "&amp;L6&amp;" to "&amp;P6</f>
        <v>Financial Forecast: 2021 to 2025</v>
      </c>
      <c r="J2" s="35"/>
      <c r="K2" s="35"/>
      <c r="L2" s="35"/>
      <c r="M2" s="31"/>
      <c r="N2" s="31"/>
      <c r="O2" s="31"/>
      <c r="P2" s="31"/>
    </row>
    <row r="3" spans="1:16">
      <c r="A3" s="31"/>
      <c r="B3" s="31" t="s">
        <v>54</v>
      </c>
      <c r="C3" s="31"/>
      <c r="D3" s="31"/>
      <c r="E3" s="31"/>
      <c r="F3" s="31"/>
      <c r="G3" s="31"/>
      <c r="H3" s="31"/>
      <c r="I3" s="192" t="str">
        <f ca="1">IF(BSCheck=0,"BS Check: OK","BS Check: ERROR")</f>
        <v>BS Check: OK</v>
      </c>
      <c r="J3" s="193"/>
      <c r="K3" s="192" t="str">
        <f>ScenarioUSed</f>
        <v>Scenario: Worst Case</v>
      </c>
      <c r="L3" s="193"/>
      <c r="M3" s="31"/>
      <c r="N3" s="31"/>
      <c r="O3" s="31"/>
      <c r="P3" s="31"/>
    </row>
    <row r="4" spans="1:16" ht="6.65" customHeight="1"/>
    <row r="5" spans="1:16">
      <c r="I5" s="30" t="s">
        <v>51</v>
      </c>
      <c r="J5" s="30" t="s">
        <v>51</v>
      </c>
      <c r="K5" s="30" t="s">
        <v>51</v>
      </c>
      <c r="L5" s="30" t="s">
        <v>52</v>
      </c>
      <c r="M5" s="30" t="s">
        <v>52</v>
      </c>
      <c r="N5" s="30" t="s">
        <v>52</v>
      </c>
      <c r="O5" s="30" t="s">
        <v>52</v>
      </c>
      <c r="P5" s="30" t="s">
        <v>52</v>
      </c>
    </row>
    <row r="6" spans="1:16">
      <c r="E6" t="s">
        <v>65</v>
      </c>
      <c r="F6" t="s">
        <v>69</v>
      </c>
      <c r="I6" s="33">
        <f>Hist!G7</f>
        <v>2018</v>
      </c>
      <c r="J6" s="33">
        <f>Hist!H7</f>
        <v>2019</v>
      </c>
      <c r="K6" s="33">
        <f>Hist!I7</f>
        <v>2020</v>
      </c>
      <c r="L6" s="34">
        <f>K6+1</f>
        <v>2021</v>
      </c>
      <c r="M6" s="34">
        <f t="shared" ref="M6:P6" si="0">L6+1</f>
        <v>2022</v>
      </c>
      <c r="N6" s="34">
        <f t="shared" si="0"/>
        <v>2023</v>
      </c>
      <c r="O6" s="34">
        <f t="shared" si="0"/>
        <v>2024</v>
      </c>
      <c r="P6" s="34">
        <f t="shared" si="0"/>
        <v>2025</v>
      </c>
    </row>
    <row r="9" spans="1:16" ht="13.25" thickBot="1">
      <c r="B9" s="36" t="s">
        <v>57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1" spans="1:16">
      <c r="D11" t="s">
        <v>58</v>
      </c>
      <c r="I11" s="37">
        <f>DATE(I6,12,31)-DATE(I6,1,1)+1</f>
        <v>365</v>
      </c>
      <c r="J11" s="37">
        <f t="shared" ref="J11:P11" si="1">DATE(J6,12,31)-DATE(J6,1,1)+1</f>
        <v>365</v>
      </c>
      <c r="K11" s="37">
        <f t="shared" si="1"/>
        <v>366</v>
      </c>
      <c r="L11" s="37">
        <f t="shared" si="1"/>
        <v>365</v>
      </c>
      <c r="M11" s="37">
        <f t="shared" si="1"/>
        <v>365</v>
      </c>
      <c r="N11" s="37">
        <f t="shared" si="1"/>
        <v>365</v>
      </c>
      <c r="O11" s="37">
        <f t="shared" si="1"/>
        <v>366</v>
      </c>
      <c r="P11" s="37">
        <f t="shared" si="1"/>
        <v>365</v>
      </c>
    </row>
    <row r="12" spans="1:16">
      <c r="D12" t="s">
        <v>167</v>
      </c>
      <c r="E12" s="49" t="s">
        <v>168</v>
      </c>
      <c r="F12" s="40">
        <v>1000000</v>
      </c>
    </row>
    <row r="14" spans="1:16">
      <c r="C14" s="38" t="s">
        <v>59</v>
      </c>
    </row>
    <row r="16" spans="1:16">
      <c r="D16" t="s">
        <v>60</v>
      </c>
      <c r="E16" s="49" t="s">
        <v>60</v>
      </c>
      <c r="F16">
        <v>1234.5</v>
      </c>
    </row>
    <row r="17" spans="2:16">
      <c r="D17" t="s">
        <v>61</v>
      </c>
      <c r="E17" s="49" t="s">
        <v>60</v>
      </c>
      <c r="F17" s="40"/>
    </row>
    <row r="18" spans="2:16">
      <c r="D18" t="s">
        <v>62</v>
      </c>
      <c r="E18" s="49" t="s">
        <v>62</v>
      </c>
      <c r="F18" s="44">
        <v>0.23</v>
      </c>
    </row>
    <row r="19" spans="2:16">
      <c r="D19" t="s">
        <v>63</v>
      </c>
      <c r="E19" s="49" t="s">
        <v>60</v>
      </c>
      <c r="F19" s="84">
        <v>12.5</v>
      </c>
    </row>
    <row r="20" spans="2:16">
      <c r="D20" t="s">
        <v>64</v>
      </c>
      <c r="E20" s="49" t="s">
        <v>60</v>
      </c>
      <c r="F20" s="50"/>
    </row>
    <row r="21" spans="2:16">
      <c r="D21" t="s">
        <v>65</v>
      </c>
      <c r="E21" s="49" t="s">
        <v>76</v>
      </c>
      <c r="F21" s="49" t="s">
        <v>76</v>
      </c>
    </row>
    <row r="22" spans="2:16" ht="13.25" thickBot="1">
      <c r="D22" t="s">
        <v>66</v>
      </c>
      <c r="E22" s="49" t="s">
        <v>76</v>
      </c>
      <c r="F22" s="39" t="s">
        <v>77</v>
      </c>
    </row>
    <row r="23" spans="2:16" ht="13.85" thickTop="1" thickBot="1">
      <c r="D23" t="s">
        <v>67</v>
      </c>
      <c r="E23" s="49" t="s">
        <v>76</v>
      </c>
      <c r="F23" s="36" t="s">
        <v>76</v>
      </c>
    </row>
    <row r="24" spans="2:16">
      <c r="D24" t="s">
        <v>68</v>
      </c>
      <c r="E24" s="49" t="s">
        <v>76</v>
      </c>
      <c r="F24" s="38" t="s">
        <v>76</v>
      </c>
    </row>
    <row r="26" spans="2:16" ht="13.25" thickBot="1">
      <c r="B26" s="36" t="s">
        <v>78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8" spans="2:16">
      <c r="C28" s="38" t="s">
        <v>177</v>
      </c>
    </row>
    <row r="30" spans="2:16">
      <c r="D30" t="s">
        <v>210</v>
      </c>
      <c r="E30" s="49" t="s">
        <v>212</v>
      </c>
      <c r="K30" s="50">
        <f>Hist!I13</f>
        <v>3829.2</v>
      </c>
      <c r="L30" t="str">
        <f ca="1">"&lt;&lt;"&amp;_xlfn.FORMULATEXT(K30)</f>
        <v>&lt;&lt;=Hist!I13</v>
      </c>
    </row>
    <row r="31" spans="2:16">
      <c r="D31" t="s">
        <v>211</v>
      </c>
      <c r="E31" s="49" t="s">
        <v>212</v>
      </c>
      <c r="K31" s="40">
        <v>574.5</v>
      </c>
    </row>
    <row r="32" spans="2:16">
      <c r="D32" t="s">
        <v>214</v>
      </c>
      <c r="E32" s="49" t="s">
        <v>212</v>
      </c>
      <c r="K32" s="29">
        <f>K30-K31</f>
        <v>3254.7</v>
      </c>
      <c r="L32" t="str">
        <f ca="1">"&lt;&lt;"&amp;_xlfn.FORMULATEXT(K32)</f>
        <v>&lt;&lt;=K30-K31</v>
      </c>
    </row>
    <row r="33" spans="2:16">
      <c r="D33" t="s">
        <v>209</v>
      </c>
      <c r="E33" s="49" t="s">
        <v>213</v>
      </c>
      <c r="K33" s="40">
        <v>14105</v>
      </c>
    </row>
    <row r="34" spans="2:16">
      <c r="D34" t="s">
        <v>215</v>
      </c>
      <c r="E34" s="49" t="s">
        <v>117</v>
      </c>
      <c r="K34" s="29">
        <f>K32*million/K33</f>
        <v>230747.96171570366</v>
      </c>
      <c r="L34" t="str">
        <f ca="1">"&lt;&lt;"&amp;_xlfn.FORMULATEXT(K34)</f>
        <v>&lt;&lt;=K32*million/K33</v>
      </c>
    </row>
    <row r="35" spans="2:16">
      <c r="D35" t="s">
        <v>238</v>
      </c>
      <c r="E35" s="49" t="s">
        <v>117</v>
      </c>
      <c r="L35" s="40">
        <v>260000</v>
      </c>
      <c r="M35" s="40">
        <v>260000</v>
      </c>
      <c r="N35" s="40">
        <v>260000</v>
      </c>
      <c r="O35" s="40">
        <v>240000</v>
      </c>
      <c r="P35" s="40">
        <v>240000</v>
      </c>
    </row>
    <row r="37" spans="2:16">
      <c r="D37" t="s">
        <v>219</v>
      </c>
      <c r="E37" s="49" t="s">
        <v>79</v>
      </c>
      <c r="K37" s="30" t="str">
        <f ca="1">_xlfn.FORMULATEXT(L37)&amp;" &gt;&gt;"</f>
        <v>=Scenarios!L33 &gt;&gt;</v>
      </c>
      <c r="L37" s="57">
        <f>Scenarios!L33</f>
        <v>0.01</v>
      </c>
      <c r="M37" s="57">
        <f>Scenarios!M33</f>
        <v>0.01</v>
      </c>
      <c r="N37" s="57">
        <f>Scenarios!N33</f>
        <v>0.01</v>
      </c>
      <c r="O37" s="57">
        <f>Scenarios!O33</f>
        <v>0.01</v>
      </c>
      <c r="P37" s="57">
        <f>Scenarios!P33</f>
        <v>0.01</v>
      </c>
    </row>
    <row r="38" spans="2:16">
      <c r="D38" t="s">
        <v>223</v>
      </c>
      <c r="E38" s="49" t="s">
        <v>117</v>
      </c>
      <c r="K38" s="30" t="str">
        <f t="shared" ref="K38:K39" ca="1" si="2">_xlfn.FORMULATEXT(L38)&amp;" &gt;&gt;"</f>
        <v>=Scenarios!L19 &gt;&gt;</v>
      </c>
      <c r="L38" s="57">
        <f>Scenarios!L19</f>
        <v>0.02</v>
      </c>
      <c r="M38" s="57">
        <f>Scenarios!M19</f>
        <v>0.02</v>
      </c>
      <c r="N38" s="57">
        <f>Scenarios!N19</f>
        <v>0.02</v>
      </c>
      <c r="O38" s="57">
        <f>Scenarios!O19</f>
        <v>0.02</v>
      </c>
      <c r="P38" s="57">
        <f>Scenarios!P19</f>
        <v>0.02</v>
      </c>
    </row>
    <row r="39" spans="2:16">
      <c r="D39" t="str">
        <f>Scenarios!B24</f>
        <v>Auxiliary Business YoY Sales Growth</v>
      </c>
      <c r="E39" s="49" t="s">
        <v>79</v>
      </c>
      <c r="K39" s="30" t="str">
        <f t="shared" ca="1" si="2"/>
        <v>=Scenarios!L26 &gt;&gt;</v>
      </c>
      <c r="L39" s="57">
        <f>Scenarios!L26</f>
        <v>0.01</v>
      </c>
      <c r="M39" s="57">
        <f>Scenarios!M26</f>
        <v>0.01</v>
      </c>
      <c r="N39" s="57">
        <f>Scenarios!N26</f>
        <v>0.01</v>
      </c>
      <c r="O39" s="57">
        <f>Scenarios!O26</f>
        <v>0.01</v>
      </c>
      <c r="P39" s="57">
        <f>Scenarios!P26</f>
        <v>0.01</v>
      </c>
    </row>
    <row r="40" spans="2:16">
      <c r="E40" s="49"/>
    </row>
    <row r="41" spans="2:16">
      <c r="D41" t="s">
        <v>217</v>
      </c>
      <c r="E41" s="49" t="s">
        <v>117</v>
      </c>
      <c r="K41">
        <f>K34</f>
        <v>230747.96171570366</v>
      </c>
      <c r="L41" s="50">
        <f>K41*(1+L38)</f>
        <v>235362.92095001772</v>
      </c>
      <c r="M41" s="50">
        <f t="shared" ref="M41:P41" si="3">L41*(1+M38)</f>
        <v>240070.17936901809</v>
      </c>
      <c r="N41" s="50">
        <f t="shared" si="3"/>
        <v>244871.58295639846</v>
      </c>
      <c r="O41" s="50">
        <f t="shared" si="3"/>
        <v>249769.01461552642</v>
      </c>
      <c r="P41" s="50">
        <f t="shared" si="3"/>
        <v>254764.39490783695</v>
      </c>
    </row>
    <row r="42" spans="2:16">
      <c r="E42" s="49"/>
    </row>
    <row r="43" spans="2:16" ht="13.25" thickBot="1">
      <c r="B43" s="36" t="s">
        <v>80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5" spans="2:16">
      <c r="D45" t="s">
        <v>1</v>
      </c>
      <c r="E45" s="49" t="s">
        <v>212</v>
      </c>
      <c r="K45" s="50">
        <f>Hist!I15</f>
        <v>2788.8</v>
      </c>
      <c r="L45" t="str">
        <f ca="1">"&lt;&lt;"&amp;_xlfn.FORMULATEXT(K45)</f>
        <v>&lt;&lt;=Hist!I15</v>
      </c>
    </row>
    <row r="46" spans="2:16">
      <c r="D46" t="s">
        <v>121</v>
      </c>
      <c r="E46" s="49" t="s">
        <v>212</v>
      </c>
      <c r="K46" s="55">
        <v>0.25</v>
      </c>
    </row>
    <row r="47" spans="2:16">
      <c r="D47" t="s">
        <v>120</v>
      </c>
      <c r="E47" s="49" t="s">
        <v>212</v>
      </c>
      <c r="K47" s="44">
        <f>1-K46</f>
        <v>0.75</v>
      </c>
      <c r="L47" t="str">
        <f t="shared" ref="L47:L49" ca="1" si="4">"&lt;&lt;"&amp;_xlfn.FORMULATEXT(K47)</f>
        <v>&lt;&lt;=1-K46</v>
      </c>
    </row>
    <row r="48" spans="2:16">
      <c r="D48" t="s">
        <v>216</v>
      </c>
      <c r="E48" s="49" t="s">
        <v>213</v>
      </c>
      <c r="K48" s="46">
        <f>K45*K46*million/K34</f>
        <v>3021.4784772790117</v>
      </c>
      <c r="L48" t="str">
        <f t="shared" ca="1" si="4"/>
        <v>&lt;&lt;=K45*K46*million/K34</v>
      </c>
    </row>
    <row r="49" spans="2:16">
      <c r="D49" t="s">
        <v>120</v>
      </c>
      <c r="E49" s="49" t="s">
        <v>212</v>
      </c>
      <c r="K49">
        <f>K45*K47</f>
        <v>2091.6000000000004</v>
      </c>
      <c r="L49" t="str">
        <f t="shared" ca="1" si="4"/>
        <v>&lt;&lt;=K45*K47</v>
      </c>
    </row>
    <row r="51" spans="2:16">
      <c r="D51" t="s">
        <v>81</v>
      </c>
      <c r="E51" s="49" t="s">
        <v>212</v>
      </c>
      <c r="L51" s="40">
        <v>615</v>
      </c>
    </row>
    <row r="53" spans="2:16">
      <c r="D53" t="s">
        <v>105</v>
      </c>
      <c r="E53" s="49" t="s">
        <v>79</v>
      </c>
      <c r="K53" s="30" t="str">
        <f t="shared" ref="K53" ca="1" si="5">_xlfn.FORMULATEXT(L53)&amp;" &gt;&gt;"</f>
        <v>=Scenarios!L40 &gt;&gt;</v>
      </c>
      <c r="L53" s="51">
        <f>Scenarios!L40</f>
        <v>0.03</v>
      </c>
      <c r="M53" s="51">
        <f>Scenarios!M40</f>
        <v>0.03</v>
      </c>
      <c r="N53" s="51">
        <f>Scenarios!N40</f>
        <v>0.03</v>
      </c>
      <c r="O53" s="51">
        <f>Scenarios!O40</f>
        <v>0.03</v>
      </c>
      <c r="P53" s="51">
        <f>Scenarios!P40</f>
        <v>0.03</v>
      </c>
    </row>
    <row r="56" spans="2:16" ht="13.25" thickBot="1">
      <c r="B56" s="36" t="s">
        <v>82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</row>
    <row r="58" spans="2:16">
      <c r="C58" s="38" t="s">
        <v>240</v>
      </c>
    </row>
    <row r="59" spans="2:16">
      <c r="D59" t="s">
        <v>85</v>
      </c>
      <c r="E59" s="49" t="s">
        <v>212</v>
      </c>
      <c r="L59" s="40">
        <v>225</v>
      </c>
      <c r="M59" s="40">
        <v>250</v>
      </c>
      <c r="N59" s="40">
        <v>275</v>
      </c>
      <c r="O59" s="40">
        <v>275</v>
      </c>
      <c r="P59" s="40">
        <v>275</v>
      </c>
    </row>
    <row r="60" spans="2:16">
      <c r="D60" s="52" t="s">
        <v>83</v>
      </c>
      <c r="E60" s="53" t="s">
        <v>84</v>
      </c>
      <c r="F60" s="54"/>
    </row>
    <row r="62" spans="2:16">
      <c r="C62" s="38" t="s">
        <v>243</v>
      </c>
    </row>
    <row r="63" spans="2:16">
      <c r="D63" t="s">
        <v>87</v>
      </c>
      <c r="E63" s="49" t="s">
        <v>88</v>
      </c>
      <c r="F63" s="40">
        <v>9</v>
      </c>
    </row>
    <row r="64" spans="2:16">
      <c r="D64" t="s">
        <v>86</v>
      </c>
      <c r="E64" s="49" t="s">
        <v>88</v>
      </c>
      <c r="F64" s="40">
        <v>15</v>
      </c>
    </row>
    <row r="66" spans="2:16">
      <c r="C66" s="38" t="s">
        <v>241</v>
      </c>
    </row>
    <row r="67" spans="2:16">
      <c r="D67" t="s">
        <v>85</v>
      </c>
      <c r="E67" s="49" t="s">
        <v>212</v>
      </c>
      <c r="L67" s="40">
        <v>40</v>
      </c>
      <c r="M67" s="40">
        <v>40</v>
      </c>
      <c r="N67" s="40">
        <v>40</v>
      </c>
      <c r="O67" s="40">
        <v>40</v>
      </c>
      <c r="P67" s="40">
        <v>40</v>
      </c>
    </row>
    <row r="68" spans="2:16">
      <c r="D68" s="52" t="s">
        <v>244</v>
      </c>
      <c r="E68" s="53" t="s">
        <v>84</v>
      </c>
      <c r="F68" s="54"/>
    </row>
    <row r="70" spans="2:16">
      <c r="C70" s="38" t="s">
        <v>242</v>
      </c>
    </row>
    <row r="71" spans="2:16">
      <c r="D71" t="s">
        <v>87</v>
      </c>
      <c r="E71" s="49" t="s">
        <v>88</v>
      </c>
      <c r="F71" s="40">
        <v>5</v>
      </c>
    </row>
    <row r="72" spans="2:16">
      <c r="D72" t="s">
        <v>86</v>
      </c>
      <c r="E72" s="49" t="s">
        <v>88</v>
      </c>
      <c r="F72" s="40">
        <v>10</v>
      </c>
    </row>
    <row r="75" spans="2:16" ht="13.25" thickBot="1">
      <c r="B75" s="36" t="s">
        <v>89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7" spans="2:16">
      <c r="D77" t="s">
        <v>58</v>
      </c>
      <c r="E77" s="49" t="s">
        <v>94</v>
      </c>
      <c r="I77" s="50">
        <f>I11</f>
        <v>365</v>
      </c>
      <c r="J77" s="50">
        <f>J11</f>
        <v>365</v>
      </c>
      <c r="K77" s="50">
        <f>K11</f>
        <v>366</v>
      </c>
      <c r="L77" t="str">
        <f t="shared" ref="L77" ca="1" si="6">"&lt;&lt;"&amp;_xlfn.FORMULATEXT(K77)</f>
        <v>&lt;&lt;=K11</v>
      </c>
    </row>
    <row r="79" spans="2:16">
      <c r="C79" s="38" t="s">
        <v>95</v>
      </c>
      <c r="E79" s="49"/>
    </row>
    <row r="80" spans="2:16">
      <c r="D80" t="s">
        <v>116</v>
      </c>
      <c r="E80" s="49" t="s">
        <v>212</v>
      </c>
      <c r="I80" s="50">
        <f>Hist!G13</f>
        <v>3194.1</v>
      </c>
      <c r="J80" s="50">
        <f>Hist!H13</f>
        <v>3524.7</v>
      </c>
      <c r="K80" s="50">
        <f>Hist!I13</f>
        <v>3829.2</v>
      </c>
      <c r="L80" t="str">
        <f t="shared" ref="L80:L81" ca="1" si="7">"&lt;&lt;"&amp;_xlfn.FORMULATEXT(K80)</f>
        <v>&lt;&lt;=Hist!I13</v>
      </c>
    </row>
    <row r="81" spans="3:16">
      <c r="D81" t="s">
        <v>1</v>
      </c>
      <c r="E81" s="49" t="s">
        <v>212</v>
      </c>
      <c r="I81" s="50">
        <f>Hist!G15</f>
        <v>2291.3000000000002</v>
      </c>
      <c r="J81" s="50">
        <f>Hist!H15</f>
        <v>2565.9</v>
      </c>
      <c r="K81" s="50">
        <f>Hist!I15</f>
        <v>2788.8</v>
      </c>
      <c r="L81" t="str">
        <f t="shared" ca="1" si="7"/>
        <v>&lt;&lt;=Hist!I15</v>
      </c>
    </row>
    <row r="82" spans="3:16">
      <c r="E82" s="49"/>
    </row>
    <row r="83" spans="3:16">
      <c r="C83" s="38" t="s">
        <v>90</v>
      </c>
      <c r="E83" s="49"/>
    </row>
    <row r="84" spans="3:16">
      <c r="D84" t="str">
        <f>Hist!C89</f>
        <v>Accounts Receivable</v>
      </c>
      <c r="E84" s="49" t="s">
        <v>212</v>
      </c>
      <c r="H84" s="30"/>
      <c r="I84">
        <f>Hist!G89</f>
        <v>266.60000000000002</v>
      </c>
      <c r="J84">
        <f>Hist!H89</f>
        <v>306.8</v>
      </c>
      <c r="K84">
        <f>Hist!I89</f>
        <v>308.39999999999998</v>
      </c>
      <c r="L84" t="str">
        <f t="shared" ref="L84:L88" ca="1" si="8">"&lt;&lt;"&amp;_xlfn.FORMULATEXT(K84)</f>
        <v>&lt;&lt;=Hist!I89</v>
      </c>
    </row>
    <row r="85" spans="3:16">
      <c r="D85" t="str">
        <f>Hist!C90</f>
        <v>Inventory</v>
      </c>
      <c r="E85" s="49" t="s">
        <v>212</v>
      </c>
      <c r="I85">
        <f>Hist!G90</f>
        <v>532.70000000000005</v>
      </c>
      <c r="J85">
        <f>Hist!H90</f>
        <v>630.20000000000005</v>
      </c>
      <c r="K85">
        <f>Hist!I90</f>
        <v>685.9</v>
      </c>
      <c r="L85" t="str">
        <f t="shared" ca="1" si="8"/>
        <v>&lt;&lt;=Hist!I90</v>
      </c>
    </row>
    <row r="86" spans="3:16">
      <c r="D86" t="s">
        <v>92</v>
      </c>
      <c r="E86" s="49" t="s">
        <v>212</v>
      </c>
      <c r="I86">
        <f>Hist!G91</f>
        <v>51.4</v>
      </c>
      <c r="J86">
        <f>Hist!H91</f>
        <v>61</v>
      </c>
      <c r="K86">
        <f>Hist!I91</f>
        <v>65.3</v>
      </c>
      <c r="L86" t="str">
        <f t="shared" ca="1" si="8"/>
        <v>&lt;&lt;=Hist!I91</v>
      </c>
    </row>
    <row r="87" spans="3:16">
      <c r="D87" t="str">
        <f>Hist!C106</f>
        <v>Accounts Payable</v>
      </c>
      <c r="E87" s="49" t="s">
        <v>212</v>
      </c>
      <c r="I87">
        <f>Hist!G106</f>
        <v>547</v>
      </c>
      <c r="J87">
        <f>Hist!H106</f>
        <v>678.4</v>
      </c>
      <c r="K87">
        <f>Hist!I106</f>
        <v>650.29999999999995</v>
      </c>
      <c r="L87" t="str">
        <f t="shared" ca="1" si="8"/>
        <v>&lt;&lt;=Hist!I106</v>
      </c>
    </row>
    <row r="88" spans="3:16">
      <c r="D88" t="s">
        <v>93</v>
      </c>
      <c r="E88" s="49" t="s">
        <v>212</v>
      </c>
      <c r="I88">
        <f>Hist!G107</f>
        <v>206.6</v>
      </c>
      <c r="J88">
        <f>Hist!H107</f>
        <v>248.50000000000006</v>
      </c>
      <c r="K88">
        <f>Hist!I107</f>
        <v>266.2</v>
      </c>
      <c r="L88" t="str">
        <f t="shared" ca="1" si="8"/>
        <v>&lt;&lt;=Hist!I107</v>
      </c>
    </row>
    <row r="90" spans="3:16">
      <c r="C90" s="38" t="s">
        <v>94</v>
      </c>
    </row>
    <row r="91" spans="3:16">
      <c r="D91" t="str">
        <f>D84</f>
        <v>Accounts Receivable</v>
      </c>
      <c r="E91" s="49" t="s">
        <v>94</v>
      </c>
      <c r="H91" s="30" t="str">
        <f t="shared" ref="H91:H95" ca="1" si="9">_xlfn.FORMULATEXT(I91)&amp;" &gt;&gt;"</f>
        <v>=I84/I80*I$77 &gt;&gt;</v>
      </c>
      <c r="I91">
        <f>I84/I80*I$77</f>
        <v>30.465232772925084</v>
      </c>
      <c r="J91">
        <f>J84/J80*J$77</f>
        <v>31.77064714727495</v>
      </c>
      <c r="K91">
        <f>K84/K80*K$77</f>
        <v>29.477279849576934</v>
      </c>
      <c r="L91" s="40">
        <v>29.5</v>
      </c>
      <c r="M91" s="40">
        <v>29.5</v>
      </c>
      <c r="N91" s="40">
        <v>29.5</v>
      </c>
      <c r="O91" s="40">
        <v>29.5</v>
      </c>
      <c r="P91" s="40">
        <v>29.5</v>
      </c>
    </row>
    <row r="92" spans="3:16">
      <c r="D92" t="str">
        <f>D85</f>
        <v>Inventory</v>
      </c>
      <c r="E92" s="49" t="s">
        <v>94</v>
      </c>
      <c r="H92" s="30" t="str">
        <f t="shared" ca="1" si="9"/>
        <v>=I85/I$81*I$77 &gt;&gt;</v>
      </c>
      <c r="I92">
        <f t="shared" ref="I92:K95" si="10">I85/I$81*I$77</f>
        <v>84.858159123641599</v>
      </c>
      <c r="J92">
        <f t="shared" si="10"/>
        <v>89.646128064226986</v>
      </c>
      <c r="K92">
        <f t="shared" si="10"/>
        <v>90.016996557659198</v>
      </c>
      <c r="L92" s="40">
        <v>90</v>
      </c>
      <c r="M92" s="40">
        <v>90</v>
      </c>
      <c r="N92" s="40">
        <v>90</v>
      </c>
      <c r="O92" s="40">
        <v>90</v>
      </c>
      <c r="P92" s="40">
        <v>90</v>
      </c>
    </row>
    <row r="93" spans="3:16">
      <c r="D93" t="str">
        <f>D86</f>
        <v>Other Assets</v>
      </c>
      <c r="E93" s="49" t="s">
        <v>94</v>
      </c>
      <c r="H93" s="30" t="str">
        <f t="shared" ca="1" si="9"/>
        <v>=I86/I$81*I$77 &gt;&gt;</v>
      </c>
      <c r="I93">
        <f t="shared" si="10"/>
        <v>8.1879282503382349</v>
      </c>
      <c r="J93">
        <f t="shared" si="10"/>
        <v>8.6772672356677969</v>
      </c>
      <c r="K93">
        <f t="shared" si="10"/>
        <v>8.5699225473321849</v>
      </c>
      <c r="L93" s="40">
        <v>8.6</v>
      </c>
      <c r="M93" s="40">
        <v>8.6</v>
      </c>
      <c r="N93" s="40">
        <v>8.6</v>
      </c>
      <c r="O93" s="40">
        <v>8.6</v>
      </c>
      <c r="P93" s="40">
        <v>8.6</v>
      </c>
    </row>
    <row r="94" spans="3:16">
      <c r="D94" t="str">
        <f>D87</f>
        <v>Accounts Payable</v>
      </c>
      <c r="E94" s="49" t="s">
        <v>94</v>
      </c>
      <c r="H94" s="30" t="str">
        <f t="shared" ca="1" si="9"/>
        <v>=I87/I$81*I$77 &gt;&gt;</v>
      </c>
      <c r="I94">
        <f t="shared" si="10"/>
        <v>87.136123597957479</v>
      </c>
      <c r="J94">
        <f t="shared" si="10"/>
        <v>96.502591683230037</v>
      </c>
      <c r="K94">
        <f t="shared" si="10"/>
        <v>85.344879518072275</v>
      </c>
      <c r="L94" s="40">
        <v>85.3</v>
      </c>
      <c r="M94" s="40">
        <v>85.3</v>
      </c>
      <c r="N94" s="40">
        <v>85.3</v>
      </c>
      <c r="O94" s="40">
        <v>85.3</v>
      </c>
      <c r="P94" s="40">
        <v>85.3</v>
      </c>
    </row>
    <row r="95" spans="3:16">
      <c r="D95" t="str">
        <f>D88</f>
        <v>Other Liabilities</v>
      </c>
      <c r="E95" s="49" t="s">
        <v>94</v>
      </c>
      <c r="H95" s="30" t="str">
        <f t="shared" ca="1" si="9"/>
        <v>=I88/I$81*I$77 &gt;&gt;</v>
      </c>
      <c r="I95">
        <f t="shared" si="10"/>
        <v>32.911011216340071</v>
      </c>
      <c r="J95">
        <f t="shared" si="10"/>
        <v>35.349195214154882</v>
      </c>
      <c r="K95">
        <f t="shared" si="10"/>
        <v>34.935886402753873</v>
      </c>
      <c r="L95" s="40">
        <v>34.9</v>
      </c>
      <c r="M95" s="40">
        <v>34.9</v>
      </c>
      <c r="N95" s="40">
        <v>34.9</v>
      </c>
      <c r="O95" s="40">
        <v>34.9</v>
      </c>
      <c r="P95" s="40">
        <v>34.9</v>
      </c>
    </row>
    <row r="97" spans="2:16">
      <c r="L97" s="185"/>
    </row>
    <row r="98" spans="2:16" ht="13.25" thickBot="1">
      <c r="B98" s="36" t="s">
        <v>96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100" spans="2:16">
      <c r="D100" t="s">
        <v>97</v>
      </c>
      <c r="E100" s="49" t="s">
        <v>79</v>
      </c>
      <c r="F100" s="55">
        <v>0.3</v>
      </c>
    </row>
    <row r="102" spans="2:16">
      <c r="D102" t="s">
        <v>237</v>
      </c>
      <c r="E102" s="49" t="s">
        <v>212</v>
      </c>
      <c r="L102" s="40">
        <v>20</v>
      </c>
      <c r="M102" s="40">
        <v>20</v>
      </c>
      <c r="N102" s="40">
        <v>20</v>
      </c>
      <c r="O102" s="40">
        <v>20</v>
      </c>
      <c r="P102" s="40">
        <v>20</v>
      </c>
    </row>
    <row r="105" spans="2:16" ht="13.25" thickBot="1">
      <c r="B105" s="36" t="s">
        <v>98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7" spans="2:16">
      <c r="C107" s="38" t="s">
        <v>99</v>
      </c>
    </row>
    <row r="108" spans="2:16">
      <c r="D108" t="s">
        <v>100</v>
      </c>
      <c r="E108" s="49" t="s">
        <v>79</v>
      </c>
      <c r="F108" s="179">
        <v>0.01</v>
      </c>
      <c r="L108" s="186">
        <f>$F108</f>
        <v>0.01</v>
      </c>
      <c r="M108" s="186">
        <f t="shared" ref="M108:P110" si="11">$F108</f>
        <v>0.01</v>
      </c>
      <c r="N108" s="186">
        <f t="shared" si="11"/>
        <v>0.01</v>
      </c>
      <c r="O108" s="186">
        <f t="shared" si="11"/>
        <v>0.01</v>
      </c>
      <c r="P108" s="186">
        <f t="shared" si="11"/>
        <v>0.01</v>
      </c>
    </row>
    <row r="109" spans="2:16">
      <c r="D109" t="s">
        <v>173</v>
      </c>
      <c r="E109" s="49" t="s">
        <v>79</v>
      </c>
      <c r="F109" s="179">
        <v>5.2499999999999998E-2</v>
      </c>
      <c r="L109" s="186">
        <f t="shared" ref="L109:L110" si="12">$F109</f>
        <v>5.2499999999999998E-2</v>
      </c>
      <c r="M109" s="186">
        <f t="shared" si="11"/>
        <v>5.2499999999999998E-2</v>
      </c>
      <c r="N109" s="186">
        <f t="shared" si="11"/>
        <v>5.2499999999999998E-2</v>
      </c>
      <c r="O109" s="186">
        <f t="shared" si="11"/>
        <v>5.2499999999999998E-2</v>
      </c>
      <c r="P109" s="186">
        <f t="shared" si="11"/>
        <v>5.2499999999999998E-2</v>
      </c>
    </row>
    <row r="110" spans="2:16">
      <c r="D110" t="s">
        <v>101</v>
      </c>
      <c r="E110" s="49" t="s">
        <v>79</v>
      </c>
      <c r="F110" s="179">
        <v>5.2499999999999998E-2</v>
      </c>
      <c r="L110" s="186">
        <f t="shared" si="12"/>
        <v>5.2499999999999998E-2</v>
      </c>
      <c r="M110" s="186">
        <f t="shared" si="11"/>
        <v>5.2499999999999998E-2</v>
      </c>
      <c r="N110" s="186">
        <f t="shared" si="11"/>
        <v>5.2499999999999998E-2</v>
      </c>
      <c r="O110" s="186">
        <f t="shared" si="11"/>
        <v>5.2499999999999998E-2</v>
      </c>
      <c r="P110" s="186">
        <f t="shared" si="11"/>
        <v>5.2499999999999998E-2</v>
      </c>
    </row>
    <row r="112" spans="2:16">
      <c r="D112" t="s">
        <v>229</v>
      </c>
      <c r="E112" s="49" t="s">
        <v>79</v>
      </c>
      <c r="L112" s="179">
        <v>1.0999999999999999E-2</v>
      </c>
      <c r="M112" s="179">
        <v>1.0999999999999999E-2</v>
      </c>
      <c r="N112" s="179">
        <v>1.0999999999999999E-2</v>
      </c>
      <c r="O112" s="179">
        <v>1.0999999999999999E-2</v>
      </c>
      <c r="P112" s="179">
        <v>1.0999999999999999E-2</v>
      </c>
    </row>
    <row r="113" spans="2:16">
      <c r="D113" t="s">
        <v>181</v>
      </c>
      <c r="E113" s="49" t="s">
        <v>79</v>
      </c>
      <c r="L113" s="179">
        <v>2.2499999999999999E-2</v>
      </c>
      <c r="M113" s="179">
        <v>2.2499999999999999E-2</v>
      </c>
      <c r="N113" s="179">
        <v>2.2499999999999999E-2</v>
      </c>
      <c r="O113" s="179">
        <v>2.2499999999999999E-2</v>
      </c>
      <c r="P113" s="179">
        <v>2.2499999999999999E-2</v>
      </c>
    </row>
    <row r="115" spans="2:16">
      <c r="C115" s="38" t="s">
        <v>174</v>
      </c>
    </row>
    <row r="116" spans="2:16">
      <c r="D116" t="s">
        <v>171</v>
      </c>
      <c r="E116" s="49" t="s">
        <v>212</v>
      </c>
      <c r="L116" s="40">
        <v>150</v>
      </c>
      <c r="M116" s="40">
        <v>150</v>
      </c>
      <c r="N116" s="40">
        <v>150</v>
      </c>
      <c r="O116" s="40">
        <v>150</v>
      </c>
      <c r="P116" s="40">
        <v>150</v>
      </c>
    </row>
    <row r="117" spans="2:16">
      <c r="D117" t="s">
        <v>172</v>
      </c>
      <c r="E117" s="49" t="s">
        <v>212</v>
      </c>
      <c r="L117" s="40">
        <v>25</v>
      </c>
      <c r="M117" s="40">
        <v>25</v>
      </c>
      <c r="N117" s="40">
        <v>25</v>
      </c>
      <c r="O117" s="40">
        <v>25</v>
      </c>
      <c r="P117" s="40">
        <v>25</v>
      </c>
    </row>
    <row r="119" spans="2:16">
      <c r="D119" s="49" t="s">
        <v>230</v>
      </c>
    </row>
    <row r="121" spans="2:16" ht="13.25" thickBot="1">
      <c r="B121" s="36" t="s">
        <v>102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</row>
    <row r="123" spans="2:16">
      <c r="C123" s="29" t="s">
        <v>38</v>
      </c>
    </row>
    <row r="124" spans="2:16">
      <c r="D124" t="s">
        <v>175</v>
      </c>
      <c r="E124" s="49" t="s">
        <v>212</v>
      </c>
      <c r="L124" s="40">
        <v>-80</v>
      </c>
      <c r="M124" s="40">
        <v>-40</v>
      </c>
      <c r="N124" s="40">
        <v>-20</v>
      </c>
      <c r="O124" s="40">
        <v>-20</v>
      </c>
      <c r="P124" s="40">
        <v>-20</v>
      </c>
    </row>
    <row r="126" spans="2:16">
      <c r="D126" t="s">
        <v>103</v>
      </c>
      <c r="E126" s="49" t="s">
        <v>213</v>
      </c>
      <c r="F126" s="56">
        <v>5</v>
      </c>
    </row>
    <row r="127" spans="2:16">
      <c r="D127" t="s">
        <v>178</v>
      </c>
      <c r="E127" s="49" t="s">
        <v>79</v>
      </c>
      <c r="F127" s="49"/>
      <c r="L127" s="55">
        <v>0.25</v>
      </c>
      <c r="M127" s="55">
        <v>0.25</v>
      </c>
      <c r="N127" s="55">
        <v>0.25</v>
      </c>
      <c r="O127" s="55">
        <v>0.25</v>
      </c>
      <c r="P127" s="55">
        <v>0.25</v>
      </c>
    </row>
    <row r="128" spans="2:16">
      <c r="C128" s="29"/>
      <c r="E128" s="49"/>
    </row>
    <row r="129" spans="2:16">
      <c r="C129" s="29" t="s">
        <v>38</v>
      </c>
    </row>
    <row r="130" spans="2:16">
      <c r="D130" t="s">
        <v>265</v>
      </c>
      <c r="E130" s="49" t="s">
        <v>212</v>
      </c>
      <c r="L130" s="40"/>
      <c r="M130" s="40">
        <v>120</v>
      </c>
      <c r="N130" s="40">
        <v>100</v>
      </c>
      <c r="O130" s="40">
        <v>100</v>
      </c>
      <c r="P130" s="40">
        <v>100</v>
      </c>
    </row>
    <row r="131" spans="2:16">
      <c r="D131" t="s">
        <v>178</v>
      </c>
      <c r="E131" s="49" t="s">
        <v>79</v>
      </c>
      <c r="L131" s="55">
        <v>8.5000000000000006E-2</v>
      </c>
      <c r="M131" s="55">
        <v>8.5000000000000006E-2</v>
      </c>
      <c r="N131" s="55">
        <v>8.5000000000000006E-2</v>
      </c>
      <c r="O131" s="55">
        <v>8.5000000000000006E-2</v>
      </c>
      <c r="P131" s="55">
        <v>8.5000000000000006E-2</v>
      </c>
    </row>
    <row r="132" spans="2:16" ht="8.25" customHeight="1"/>
    <row r="133" spans="2:16" ht="13.25" thickBot="1">
      <c r="B133" s="36" t="s">
        <v>104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</row>
    <row r="135" spans="2:16">
      <c r="D135" t="s">
        <v>105</v>
      </c>
      <c r="E135" s="49" t="s">
        <v>79</v>
      </c>
      <c r="L135" s="57">
        <f>Scenarios!L40</f>
        <v>0.03</v>
      </c>
      <c r="M135" s="57">
        <f>Scenarios!M40</f>
        <v>0.03</v>
      </c>
      <c r="N135" s="57">
        <f>Scenarios!N40</f>
        <v>0.03</v>
      </c>
      <c r="O135" s="57">
        <f>Scenarios!O40</f>
        <v>0.03</v>
      </c>
      <c r="P135" s="57">
        <f>Scenarios!P40</f>
        <v>0.03</v>
      </c>
    </row>
    <row r="137" spans="2:16">
      <c r="D137" t="s">
        <v>231</v>
      </c>
      <c r="E137" s="49" t="s">
        <v>212</v>
      </c>
      <c r="L137" s="40">
        <v>0</v>
      </c>
      <c r="M137" s="40">
        <v>0</v>
      </c>
      <c r="N137" s="40">
        <v>0</v>
      </c>
      <c r="O137" s="40">
        <v>0</v>
      </c>
      <c r="P137" s="40">
        <v>0</v>
      </c>
    </row>
    <row r="138" spans="2:16">
      <c r="D138" t="s">
        <v>232</v>
      </c>
      <c r="E138" s="49" t="s">
        <v>212</v>
      </c>
      <c r="L138" s="40">
        <v>0</v>
      </c>
      <c r="M138" s="40">
        <v>0</v>
      </c>
      <c r="N138" s="40">
        <v>0</v>
      </c>
      <c r="O138" s="40">
        <v>0</v>
      </c>
      <c r="P138" s="40">
        <v>0</v>
      </c>
    </row>
    <row r="140" spans="2:16">
      <c r="D140" t="s">
        <v>197</v>
      </c>
      <c r="E140" s="49" t="s">
        <v>212</v>
      </c>
      <c r="L140" s="40">
        <v>0</v>
      </c>
      <c r="M140" s="40">
        <v>0</v>
      </c>
      <c r="N140" s="40">
        <v>0</v>
      </c>
      <c r="O140" s="40">
        <v>0</v>
      </c>
      <c r="P140" s="40">
        <v>0</v>
      </c>
    </row>
    <row r="141" spans="2:16">
      <c r="D141" t="s">
        <v>192</v>
      </c>
      <c r="E141" s="49" t="s">
        <v>212</v>
      </c>
      <c r="L141" s="40">
        <v>0</v>
      </c>
      <c r="M141" s="40">
        <v>0</v>
      </c>
      <c r="N141" s="40">
        <v>0</v>
      </c>
      <c r="O141" s="40">
        <v>0</v>
      </c>
      <c r="P141" s="40">
        <v>0</v>
      </c>
    </row>
    <row r="142" spans="2:16">
      <c r="D142" t="s">
        <v>191</v>
      </c>
      <c r="E142" s="49" t="s">
        <v>212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</row>
    <row r="143" spans="2:16">
      <c r="D143" t="s">
        <v>189</v>
      </c>
      <c r="E143" s="49" t="s">
        <v>212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</row>
    <row r="144" spans="2:16">
      <c r="D144" t="s">
        <v>190</v>
      </c>
      <c r="E144" s="49" t="s">
        <v>212</v>
      </c>
      <c r="L144" s="40">
        <v>0</v>
      </c>
      <c r="M144" s="40">
        <v>0</v>
      </c>
      <c r="N144" s="40">
        <v>0</v>
      </c>
      <c r="O144" s="40">
        <v>0</v>
      </c>
      <c r="P144" s="40">
        <v>0</v>
      </c>
    </row>
    <row r="146" spans="4:16">
      <c r="D146" t="s">
        <v>193</v>
      </c>
      <c r="E146" s="49" t="s">
        <v>212</v>
      </c>
      <c r="L146" s="40">
        <v>0</v>
      </c>
      <c r="M146" s="40">
        <v>0</v>
      </c>
      <c r="N146" s="40">
        <v>0</v>
      </c>
      <c r="O146" s="40">
        <v>0</v>
      </c>
      <c r="P146" s="40">
        <v>0</v>
      </c>
    </row>
    <row r="147" spans="4:16">
      <c r="D147" s="49" t="s">
        <v>194</v>
      </c>
    </row>
  </sheetData>
  <mergeCells count="2">
    <mergeCell ref="I3:J3"/>
    <mergeCell ref="K3:L3"/>
  </mergeCells>
  <conditionalFormatting sqref="I3:J3">
    <cfRule type="expression" dxfId="2" priority="1">
      <formula>BSCheck&lt;&gt;0</formula>
    </cfRule>
  </conditionalFormatting>
  <printOptions headings="1"/>
  <pageMargins left="0.70866141732283472" right="0.70866141732283472" top="0.55118110236220474" bottom="0.55118110236220474" header="0.31496062992125984" footer="0.31496062992125984"/>
  <pageSetup scale="72" fitToHeight="0" orientation="landscape" r:id="rId1"/>
  <headerFooter>
    <oddFooter>&amp;LCTD Industries
Printed on: &amp;D @ &amp;T&amp;CPage &amp;P of &amp;N&amp;RSheet Name: &amp;A
File Name: &amp;F</oddFooter>
  </headerFooter>
  <rowBreaks count="3" manualBreakCount="3">
    <brk id="54" max="16383" man="1"/>
    <brk id="103" max="16383" man="1"/>
    <brk id="1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7C68-964C-460A-A3CF-DC07C8685F3E}">
  <sheetPr codeName="Sheet5">
    <pageSetUpPr fitToPage="1"/>
  </sheetPr>
  <dimension ref="A1:P43"/>
  <sheetViews>
    <sheetView showGridLines="0" zoomScale="145" zoomScaleNormal="145" workbookViewId="0"/>
  </sheetViews>
  <sheetFormatPr defaultRowHeight="12.7"/>
  <cols>
    <col min="1" max="3" width="2.88671875" customWidth="1"/>
    <col min="4" max="4" width="29.5546875" customWidth="1"/>
    <col min="6" max="6" width="9.109375" customWidth="1"/>
    <col min="7" max="7" width="3.5546875" customWidth="1"/>
    <col min="8" max="8" width="5.5546875" customWidth="1"/>
  </cols>
  <sheetData>
    <row r="1" spans="1:16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5.55">
      <c r="A2" s="31"/>
      <c r="B2" s="32" t="str">
        <f>Cover!$C$7</f>
        <v>CTD Industries</v>
      </c>
      <c r="C2" s="31"/>
      <c r="D2" s="31"/>
      <c r="E2" s="31"/>
      <c r="F2" s="31"/>
      <c r="G2" s="31"/>
      <c r="H2" s="31"/>
      <c r="I2" s="35" t="str">
        <f>"Financial Forecast: "&amp;L6&amp;" to "&amp;P6</f>
        <v>Financial Forecast: 2021 to 2025</v>
      </c>
      <c r="J2" s="35"/>
      <c r="K2" s="35"/>
      <c r="L2" s="35"/>
      <c r="M2" s="31"/>
      <c r="N2" s="31"/>
      <c r="O2" s="31"/>
      <c r="P2" s="31"/>
    </row>
    <row r="3" spans="1:16">
      <c r="A3" s="31"/>
      <c r="B3" s="31" t="s">
        <v>55</v>
      </c>
      <c r="C3" s="31"/>
      <c r="D3" s="31"/>
      <c r="E3" s="31"/>
      <c r="F3" s="31"/>
      <c r="G3" s="31"/>
      <c r="H3" s="31"/>
      <c r="I3" s="192" t="str">
        <f ca="1">IF(BSCheck=0,"BS Check: OK","BS Check: ERROR")</f>
        <v>BS Check: OK</v>
      </c>
      <c r="J3" s="193"/>
      <c r="K3" s="192" t="str">
        <f>ScenarioUSed</f>
        <v>Scenario: Worst Case</v>
      </c>
      <c r="L3" s="193"/>
      <c r="M3" s="31"/>
      <c r="N3" s="31"/>
      <c r="O3" s="31"/>
      <c r="P3" s="31"/>
    </row>
    <row r="4" spans="1:16" ht="6.65" customHeight="1"/>
    <row r="5" spans="1:16">
      <c r="I5" s="30" t="s">
        <v>51</v>
      </c>
      <c r="J5" s="30" t="s">
        <v>51</v>
      </c>
      <c r="K5" s="30" t="s">
        <v>51</v>
      </c>
      <c r="L5" s="30" t="s">
        <v>52</v>
      </c>
      <c r="M5" s="30" t="s">
        <v>52</v>
      </c>
      <c r="N5" s="30" t="s">
        <v>52</v>
      </c>
      <c r="O5" s="30" t="s">
        <v>52</v>
      </c>
      <c r="P5" s="30" t="s">
        <v>52</v>
      </c>
    </row>
    <row r="6" spans="1:16">
      <c r="E6" t="s">
        <v>65</v>
      </c>
      <c r="F6" t="s">
        <v>69</v>
      </c>
      <c r="I6" s="33">
        <f>Hist!G7</f>
        <v>2018</v>
      </c>
      <c r="J6" s="33">
        <f>Hist!H7</f>
        <v>2019</v>
      </c>
      <c r="K6" s="33">
        <f>Hist!I7</f>
        <v>2020</v>
      </c>
      <c r="L6" s="34">
        <f>K6+1</f>
        <v>2021</v>
      </c>
      <c r="M6" s="34">
        <f t="shared" ref="M6:P6" si="0">L6+1</f>
        <v>2022</v>
      </c>
      <c r="N6" s="34">
        <f t="shared" si="0"/>
        <v>2023</v>
      </c>
      <c r="O6" s="34">
        <f t="shared" si="0"/>
        <v>2024</v>
      </c>
      <c r="P6" s="34">
        <f t="shared" si="0"/>
        <v>2025</v>
      </c>
    </row>
    <row r="9" spans="1:16" ht="13.25" thickBot="1">
      <c r="B9" s="36" t="s">
        <v>70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1" spans="1:16">
      <c r="D11" s="41" t="str">
        <f>"Scenario: "&amp;INDEX(L_Scenarios,S_Scenarios)</f>
        <v>Scenario: Worst Case</v>
      </c>
      <c r="E11">
        <v>3</v>
      </c>
    </row>
    <row r="12" spans="1:16">
      <c r="D12" s="42" t="s">
        <v>71</v>
      </c>
    </row>
    <row r="13" spans="1:16">
      <c r="D13" s="42" t="s">
        <v>72</v>
      </c>
    </row>
    <row r="14" spans="1:16">
      <c r="D14" s="43" t="s">
        <v>73</v>
      </c>
    </row>
    <row r="17" spans="2:16" ht="13.25" thickBot="1">
      <c r="B17" s="36" t="s">
        <v>220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9" spans="2:16">
      <c r="D19" s="29" t="s">
        <v>74</v>
      </c>
      <c r="E19" s="49" t="s">
        <v>65</v>
      </c>
      <c r="F19" s="29"/>
      <c r="G19" s="29"/>
      <c r="H19" s="29"/>
      <c r="I19" s="29"/>
      <c r="J19" s="29"/>
      <c r="K19" s="29"/>
      <c r="L19" s="48">
        <f>INDEX(L20:L22,S_Scenarios)</f>
        <v>0.02</v>
      </c>
      <c r="M19" s="48">
        <f>INDEX(M20:M22,S_Scenarios)</f>
        <v>0.02</v>
      </c>
      <c r="N19" s="48">
        <f>INDEX(N20:N22,S_Scenarios)</f>
        <v>0.02</v>
      </c>
      <c r="O19" s="48">
        <f>INDEX(O20:O22,S_Scenarios)</f>
        <v>0.02</v>
      </c>
      <c r="P19" s="48">
        <f>INDEX(P20:P22,S_Scenarios)</f>
        <v>0.02</v>
      </c>
    </row>
    <row r="20" spans="2:16">
      <c r="D20" t="str">
        <f>D$12</f>
        <v>Base Case</v>
      </c>
      <c r="E20" s="49" t="s">
        <v>65</v>
      </c>
      <c r="L20" s="47">
        <v>0.03</v>
      </c>
      <c r="M20" s="47">
        <v>0.03</v>
      </c>
      <c r="N20" s="47">
        <v>0.03</v>
      </c>
      <c r="O20" s="47">
        <v>0.03</v>
      </c>
      <c r="P20" s="47">
        <v>0.03</v>
      </c>
    </row>
    <row r="21" spans="2:16">
      <c r="D21" t="str">
        <f>D$13</f>
        <v>Best Case</v>
      </c>
      <c r="E21" s="49" t="s">
        <v>65</v>
      </c>
      <c r="F21" s="45"/>
      <c r="H21" s="46"/>
      <c r="L21" s="47">
        <v>0.04</v>
      </c>
      <c r="M21" s="47">
        <v>0.04</v>
      </c>
      <c r="N21" s="47">
        <v>0.04</v>
      </c>
      <c r="O21" s="47">
        <v>0.04</v>
      </c>
      <c r="P21" s="47">
        <v>0.04</v>
      </c>
    </row>
    <row r="22" spans="2:16">
      <c r="D22" t="str">
        <f>D$14</f>
        <v>Worst Case</v>
      </c>
      <c r="E22" s="49" t="s">
        <v>65</v>
      </c>
      <c r="F22" s="45"/>
      <c r="L22" s="47">
        <v>0.02</v>
      </c>
      <c r="M22" s="47">
        <v>0.02</v>
      </c>
      <c r="N22" s="47">
        <v>0.02</v>
      </c>
      <c r="O22" s="47">
        <v>0.02</v>
      </c>
      <c r="P22" s="47">
        <v>0.02</v>
      </c>
    </row>
    <row r="24" spans="2:16" ht="13.25" thickBot="1">
      <c r="B24" s="36" t="s">
        <v>221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6" spans="2:16">
      <c r="D26" s="29" t="s">
        <v>74</v>
      </c>
      <c r="E26" s="49" t="s">
        <v>65</v>
      </c>
      <c r="F26" s="29"/>
      <c r="G26" s="29"/>
      <c r="H26" s="29"/>
      <c r="I26" s="29"/>
      <c r="J26" s="29"/>
      <c r="K26" s="29"/>
      <c r="L26" s="48">
        <f>INDEX(L27:L29,S_Scenarios)</f>
        <v>0.01</v>
      </c>
      <c r="M26" s="48">
        <f>INDEX(M27:M29,S_Scenarios)</f>
        <v>0.01</v>
      </c>
      <c r="N26" s="48">
        <f>INDEX(N27:N29,S_Scenarios)</f>
        <v>0.01</v>
      </c>
      <c r="O26" s="48">
        <f>INDEX(O27:O29,S_Scenarios)</f>
        <v>0.01</v>
      </c>
      <c r="P26" s="48">
        <f>INDEX(P27:P29,S_Scenarios)</f>
        <v>0.01</v>
      </c>
    </row>
    <row r="27" spans="2:16">
      <c r="D27" t="str">
        <f>D$12</f>
        <v>Base Case</v>
      </c>
      <c r="E27" s="49" t="s">
        <v>65</v>
      </c>
      <c r="L27" s="47">
        <v>2.5000000000000001E-2</v>
      </c>
      <c r="M27" s="47">
        <v>2.5000000000000001E-2</v>
      </c>
      <c r="N27" s="47">
        <v>2.5000000000000001E-2</v>
      </c>
      <c r="O27" s="47">
        <v>2.5000000000000001E-2</v>
      </c>
      <c r="P27" s="47">
        <v>2.5000000000000001E-2</v>
      </c>
    </row>
    <row r="28" spans="2:16">
      <c r="D28" t="str">
        <f>D$13</f>
        <v>Best Case</v>
      </c>
      <c r="E28" s="49" t="s">
        <v>65</v>
      </c>
      <c r="F28" s="45"/>
      <c r="H28" s="46"/>
      <c r="L28" s="47">
        <v>0.04</v>
      </c>
      <c r="M28" s="47">
        <v>0.04</v>
      </c>
      <c r="N28" s="47">
        <v>0.04</v>
      </c>
      <c r="O28" s="47">
        <v>0.04</v>
      </c>
      <c r="P28" s="47">
        <v>0.04</v>
      </c>
    </row>
    <row r="29" spans="2:16">
      <c r="D29" t="str">
        <f>D$14</f>
        <v>Worst Case</v>
      </c>
      <c r="E29" s="49" t="s">
        <v>65</v>
      </c>
      <c r="F29" s="45"/>
      <c r="L29" s="47">
        <v>0.01</v>
      </c>
      <c r="M29" s="47">
        <v>0.01</v>
      </c>
      <c r="N29" s="47">
        <v>0.01</v>
      </c>
      <c r="O29" s="47">
        <v>0.01</v>
      </c>
      <c r="P29" s="47">
        <v>0.01</v>
      </c>
    </row>
    <row r="31" spans="2:16" ht="13.25" thickBot="1">
      <c r="B31" s="36" t="s">
        <v>224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3" spans="2:16">
      <c r="D33" s="29" t="s">
        <v>74</v>
      </c>
      <c r="E33" s="49" t="s">
        <v>79</v>
      </c>
      <c r="F33" s="29"/>
      <c r="G33" s="29"/>
      <c r="H33" s="29"/>
      <c r="I33" s="29"/>
      <c r="J33" s="29"/>
      <c r="K33" s="29"/>
      <c r="L33" s="48">
        <f>INDEX(L34:L36,S_Scenarios)</f>
        <v>0.01</v>
      </c>
      <c r="M33" s="48">
        <f>INDEX(M34:M36,S_Scenarios)</f>
        <v>0.01</v>
      </c>
      <c r="N33" s="48">
        <f>INDEX(N34:N36,S_Scenarios)</f>
        <v>0.01</v>
      </c>
      <c r="O33" s="48">
        <f>INDEX(O34:O36,S_Scenarios)</f>
        <v>0.01</v>
      </c>
      <c r="P33" s="48">
        <f>INDEX(P34:P36,S_Scenarios)</f>
        <v>0.01</v>
      </c>
    </row>
    <row r="34" spans="2:16">
      <c r="D34" t="s">
        <v>71</v>
      </c>
      <c r="E34" s="49" t="s">
        <v>79</v>
      </c>
      <c r="L34" s="47">
        <v>2.5000000000000001E-2</v>
      </c>
      <c r="M34" s="47">
        <v>2.5000000000000001E-2</v>
      </c>
      <c r="N34" s="47">
        <v>2.5000000000000001E-2</v>
      </c>
      <c r="O34" s="47">
        <v>2.5000000000000001E-2</v>
      </c>
      <c r="P34" s="47">
        <v>2.5000000000000001E-2</v>
      </c>
    </row>
    <row r="35" spans="2:16">
      <c r="D35" t="s">
        <v>72</v>
      </c>
      <c r="E35" s="49" t="s">
        <v>79</v>
      </c>
      <c r="L35" s="47">
        <v>3.5000000000000003E-2</v>
      </c>
      <c r="M35" s="47">
        <v>3.5000000000000003E-2</v>
      </c>
      <c r="N35" s="47">
        <v>3.5000000000000003E-2</v>
      </c>
      <c r="O35" s="47">
        <v>3.5000000000000003E-2</v>
      </c>
      <c r="P35" s="47">
        <v>3.5000000000000003E-2</v>
      </c>
    </row>
    <row r="36" spans="2:16">
      <c r="D36" t="s">
        <v>73</v>
      </c>
      <c r="E36" s="49" t="s">
        <v>79</v>
      </c>
      <c r="L36" s="47">
        <v>0.01</v>
      </c>
      <c r="M36" s="47">
        <v>0.01</v>
      </c>
      <c r="N36" s="47">
        <v>0.01</v>
      </c>
      <c r="O36" s="47">
        <v>0.01</v>
      </c>
      <c r="P36" s="47">
        <v>0.01</v>
      </c>
    </row>
    <row r="38" spans="2:16" ht="13.25" thickBot="1">
      <c r="B38" s="36" t="s">
        <v>75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40" spans="2:16">
      <c r="D40" s="29" t="s">
        <v>74</v>
      </c>
      <c r="E40" s="49" t="s">
        <v>79</v>
      </c>
      <c r="F40" s="29"/>
      <c r="G40" s="29"/>
      <c r="H40" s="29"/>
      <c r="I40" s="29"/>
      <c r="J40" s="29"/>
      <c r="K40" s="29"/>
      <c r="L40" s="48">
        <f>INDEX(L41:L43,S_Scenarios)</f>
        <v>0.03</v>
      </c>
      <c r="M40" s="48">
        <f>INDEX(M41:M43,S_Scenarios)</f>
        <v>0.03</v>
      </c>
      <c r="N40" s="48">
        <f>INDEX(N41:N43,S_Scenarios)</f>
        <v>0.03</v>
      </c>
      <c r="O40" s="48">
        <f>INDEX(O41:O43,S_Scenarios)</f>
        <v>0.03</v>
      </c>
      <c r="P40" s="48">
        <f>INDEX(P41:P43,S_Scenarios)</f>
        <v>0.03</v>
      </c>
    </row>
    <row r="41" spans="2:16">
      <c r="D41" t="s">
        <v>71</v>
      </c>
      <c r="E41" s="49" t="s">
        <v>79</v>
      </c>
      <c r="L41" s="47">
        <v>0.02</v>
      </c>
      <c r="M41" s="47">
        <v>0.02</v>
      </c>
      <c r="N41" s="47">
        <v>0.02</v>
      </c>
      <c r="O41" s="47">
        <v>0.02</v>
      </c>
      <c r="P41" s="47">
        <v>0.02</v>
      </c>
    </row>
    <row r="42" spans="2:16">
      <c r="D42" t="s">
        <v>72</v>
      </c>
      <c r="E42" s="49" t="s">
        <v>79</v>
      </c>
      <c r="L42" s="47">
        <v>1.4999999999999999E-2</v>
      </c>
      <c r="M42" s="47">
        <v>1.4999999999999999E-2</v>
      </c>
      <c r="N42" s="47">
        <v>1.4999999999999999E-2</v>
      </c>
      <c r="O42" s="47">
        <v>1.4999999999999999E-2</v>
      </c>
      <c r="P42" s="47">
        <v>1.4999999999999999E-2</v>
      </c>
    </row>
    <row r="43" spans="2:16">
      <c r="D43" t="s">
        <v>73</v>
      </c>
      <c r="E43" s="49" t="s">
        <v>79</v>
      </c>
      <c r="L43" s="47">
        <v>0.03</v>
      </c>
      <c r="M43" s="47">
        <v>0.03</v>
      </c>
      <c r="N43" s="47">
        <v>0.03</v>
      </c>
      <c r="O43" s="47">
        <v>0.03</v>
      </c>
      <c r="P43" s="47">
        <v>0.03</v>
      </c>
    </row>
  </sheetData>
  <mergeCells count="2">
    <mergeCell ref="I3:J3"/>
    <mergeCell ref="K3:L3"/>
  </mergeCells>
  <conditionalFormatting sqref="I3:J3">
    <cfRule type="expression" dxfId="1" priority="1">
      <formula>BSCheck&lt;&gt;0</formula>
    </cfRule>
  </conditionalFormatting>
  <printOptions headings="1"/>
  <pageMargins left="0.70866141732283472" right="0.70866141732283472" top="0.55118110236220474" bottom="0.55118110236220474" header="0.31496062992125984" footer="0.31496062992125984"/>
  <pageSetup scale="89" fitToHeight="0" orientation="landscape" r:id="rId1"/>
  <headerFooter>
    <oddFooter>&amp;LCTD Industries
Printed on: &amp;D @ &amp;T&amp;CPage &amp;P of &amp;N&amp;RSheet Name: &amp;A
File Name: 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E8D-750A-4165-BA57-CE780161FB02}">
  <sheetPr codeName="Sheet6">
    <pageSetUpPr fitToPage="1"/>
  </sheetPr>
  <dimension ref="A1:S342"/>
  <sheetViews>
    <sheetView showGridLines="0" zoomScale="160" zoomScaleNormal="160" workbookViewId="0">
      <selection activeCell="J132" sqref="J132"/>
    </sheetView>
  </sheetViews>
  <sheetFormatPr defaultRowHeight="12.7"/>
  <cols>
    <col min="1" max="3" width="2.88671875" customWidth="1"/>
    <col min="4" max="4" width="37.5546875" customWidth="1"/>
    <col min="6" max="6" width="6" bestFit="1" customWidth="1"/>
    <col min="7" max="7" width="1.33203125" customWidth="1"/>
    <col min="8" max="8" width="3.21875" customWidth="1"/>
    <col min="9" max="9" width="7.5546875" bestFit="1" customWidth="1"/>
    <col min="10" max="10" width="9" bestFit="1" customWidth="1"/>
    <col min="11" max="16" width="9.5546875" bestFit="1" customWidth="1"/>
    <col min="17" max="17" width="30" style="49" customWidth="1"/>
    <col min="19" max="19" width="8.44140625" customWidth="1"/>
  </cols>
  <sheetData>
    <row r="1" spans="1:17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7" ht="15.55">
      <c r="A2" s="31"/>
      <c r="B2" s="32" t="str">
        <f>Cover!$C$7</f>
        <v>CTD Industries</v>
      </c>
      <c r="C2" s="31"/>
      <c r="D2" s="31"/>
      <c r="E2" s="31"/>
      <c r="F2" s="31"/>
      <c r="G2" s="31"/>
      <c r="H2" s="31"/>
      <c r="I2" s="35" t="str">
        <f>"Financial Forecast: "&amp;L6&amp;" to "&amp;P6</f>
        <v>Financial Forecast: 2021 to 2025</v>
      </c>
      <c r="J2" s="35"/>
      <c r="K2" s="35"/>
      <c r="L2" s="35"/>
      <c r="M2" s="31"/>
      <c r="N2" s="31"/>
      <c r="O2" s="31"/>
      <c r="P2" s="31"/>
    </row>
    <row r="3" spans="1:17">
      <c r="A3" s="31"/>
      <c r="B3" s="31" t="s">
        <v>56</v>
      </c>
      <c r="C3" s="31"/>
      <c r="D3" s="31"/>
      <c r="E3" s="31"/>
      <c r="F3" s="31"/>
      <c r="G3" s="31"/>
      <c r="H3" s="31"/>
      <c r="I3" s="192" t="str">
        <f ca="1">IF(BSCheck=0,"BS Check: OK","BS Check: ERROR")</f>
        <v>BS Check: OK</v>
      </c>
      <c r="J3" s="193"/>
      <c r="K3" s="192" t="str">
        <f>ScenarioUSed</f>
        <v>Scenario: Worst Case</v>
      </c>
      <c r="L3" s="193"/>
      <c r="M3" s="31"/>
      <c r="N3" s="31"/>
      <c r="O3" s="31"/>
      <c r="P3" s="31"/>
    </row>
    <row r="4" spans="1:17" ht="6.65" customHeight="1"/>
    <row r="5" spans="1:17">
      <c r="I5" s="30" t="s">
        <v>51</v>
      </c>
      <c r="J5" s="30" t="s">
        <v>51</v>
      </c>
      <c r="K5" s="30" t="s">
        <v>51</v>
      </c>
      <c r="L5" s="30" t="s">
        <v>52</v>
      </c>
      <c r="M5" s="30" t="s">
        <v>52</v>
      </c>
      <c r="N5" s="30" t="s">
        <v>52</v>
      </c>
      <c r="O5" s="30" t="s">
        <v>52</v>
      </c>
      <c r="P5" s="30" t="s">
        <v>52</v>
      </c>
      <c r="Q5" s="187" t="s">
        <v>233</v>
      </c>
    </row>
    <row r="6" spans="1:17">
      <c r="E6" t="s">
        <v>65</v>
      </c>
      <c r="F6" t="s">
        <v>69</v>
      </c>
      <c r="I6" s="33">
        <f>Hist!G7</f>
        <v>2018</v>
      </c>
      <c r="J6" s="33">
        <f>Hist!H7</f>
        <v>2019</v>
      </c>
      <c r="K6" s="33">
        <f>Hist!I7</f>
        <v>2020</v>
      </c>
      <c r="L6" s="34">
        <f>K6+1</f>
        <v>2021</v>
      </c>
      <c r="M6" s="34">
        <f t="shared" ref="M6:P6" si="0">L6+1</f>
        <v>2022</v>
      </c>
      <c r="N6" s="34">
        <f t="shared" si="0"/>
        <v>2023</v>
      </c>
      <c r="O6" s="34">
        <f t="shared" si="0"/>
        <v>2024</v>
      </c>
      <c r="P6" s="34">
        <f t="shared" si="0"/>
        <v>2025</v>
      </c>
      <c r="Q6" s="188">
        <f>L6</f>
        <v>2021</v>
      </c>
    </row>
    <row r="8" spans="1:17" ht="13.25" thickBot="1">
      <c r="A8" s="39" t="s">
        <v>106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17" ht="13.25" thickTop="1"/>
    <row r="10" spans="1:17" ht="13.25" thickBot="1">
      <c r="B10" s="36" t="s">
        <v>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2" spans="1:17">
      <c r="D12" t="str">
        <f>Hist!C13</f>
        <v>Revenue</v>
      </c>
      <c r="E12" s="49" t="s">
        <v>212</v>
      </c>
      <c r="I12" s="50">
        <f>Hist!G13</f>
        <v>3194.1</v>
      </c>
      <c r="J12" s="50">
        <f>Hist!H13</f>
        <v>3524.7</v>
      </c>
      <c r="K12" s="50">
        <f>Hist!I13</f>
        <v>3829.2</v>
      </c>
      <c r="L12">
        <f>L143</f>
        <v>3933.2369399999998</v>
      </c>
      <c r="M12">
        <f t="shared" ref="M12:P12" si="1">M143</f>
        <v>4040.2997465879998</v>
      </c>
      <c r="N12">
        <f t="shared" si="1"/>
        <v>4150.4786404449569</v>
      </c>
      <c r="O12">
        <f t="shared" si="1"/>
        <v>4120.4796983969991</v>
      </c>
      <c r="P12">
        <f t="shared" si="1"/>
        <v>4161.6844953809705</v>
      </c>
      <c r="Q12" s="189" t="str">
        <f ca="1">_xlfn.FORMULATEXT(L12)</f>
        <v>=L143</v>
      </c>
    </row>
    <row r="13" spans="1:17">
      <c r="E13" s="68"/>
    </row>
    <row r="14" spans="1:17">
      <c r="D14" t="str">
        <f>Hist!C15</f>
        <v>Cost of Sales</v>
      </c>
      <c r="E14" s="49" t="s">
        <v>212</v>
      </c>
      <c r="I14" s="50">
        <f>Hist!G15</f>
        <v>2291.3000000000002</v>
      </c>
      <c r="J14" s="50">
        <f>Hist!H15</f>
        <v>2565.9</v>
      </c>
      <c r="K14" s="50">
        <f>Hist!I15</f>
        <v>2788.8</v>
      </c>
      <c r="L14">
        <f>L160</f>
        <v>2886.8263200000006</v>
      </c>
      <c r="M14">
        <f t="shared" ref="M14:P14" si="2">M160</f>
        <v>2988.5201629920002</v>
      </c>
      <c r="N14">
        <f t="shared" si="2"/>
        <v>3094.0283273753957</v>
      </c>
      <c r="O14">
        <f t="shared" si="2"/>
        <v>3170.2823818926995</v>
      </c>
      <c r="P14">
        <f t="shared" si="2"/>
        <v>3265.3908533494805</v>
      </c>
      <c r="Q14" s="189" t="str">
        <f t="shared" ref="Q14:Q16" ca="1" si="3">_xlfn.FORMULATEXT(L14)</f>
        <v>=L160</v>
      </c>
    </row>
    <row r="15" spans="1:17">
      <c r="D15" t="str">
        <f>Hist!C16</f>
        <v>SG&amp;A</v>
      </c>
      <c r="E15" s="49" t="s">
        <v>212</v>
      </c>
      <c r="I15" s="50">
        <f>Hist!G16</f>
        <v>519.4</v>
      </c>
      <c r="J15" s="50">
        <f>Hist!H16</f>
        <v>544.70000000000005</v>
      </c>
      <c r="K15" s="50">
        <f>Hist!I16</f>
        <v>572.9</v>
      </c>
      <c r="L15">
        <f>L162</f>
        <v>615</v>
      </c>
      <c r="M15">
        <f t="shared" ref="M15:P15" si="4">M162</f>
        <v>633.45000000000005</v>
      </c>
      <c r="N15">
        <f t="shared" si="4"/>
        <v>652.45350000000008</v>
      </c>
      <c r="O15">
        <f t="shared" si="4"/>
        <v>672.02710500000012</v>
      </c>
      <c r="P15">
        <f t="shared" si="4"/>
        <v>692.18791815000009</v>
      </c>
      <c r="Q15" s="189" t="str">
        <f t="shared" ca="1" si="3"/>
        <v>=L162</v>
      </c>
    </row>
    <row r="16" spans="1:17" s="29" customFormat="1">
      <c r="D16" s="29" t="str">
        <f>Hist!C17</f>
        <v>Total Costs</v>
      </c>
      <c r="E16" s="49" t="s">
        <v>212</v>
      </c>
      <c r="I16" s="59">
        <f t="shared" ref="I16:K16" si="5">SUM(I14:I15)</f>
        <v>2810.7000000000003</v>
      </c>
      <c r="J16" s="59">
        <f t="shared" si="5"/>
        <v>3110.6000000000004</v>
      </c>
      <c r="K16" s="59">
        <f t="shared" si="5"/>
        <v>3361.7000000000003</v>
      </c>
      <c r="L16" s="29">
        <f t="shared" ref="L16" si="6">SUM(L14:L15)</f>
        <v>3501.8263200000006</v>
      </c>
      <c r="M16" s="29">
        <f t="shared" ref="M16" si="7">SUM(M14:M15)</f>
        <v>3621.970162992</v>
      </c>
      <c r="N16" s="29">
        <f t="shared" ref="N16" si="8">SUM(N14:N15)</f>
        <v>3746.4818273753958</v>
      </c>
      <c r="O16" s="29">
        <f t="shared" ref="O16" si="9">SUM(O14:O15)</f>
        <v>3842.3094868926996</v>
      </c>
      <c r="P16" s="29">
        <f t="shared" ref="P16" si="10">SUM(P14:P15)</f>
        <v>3957.5787714994804</v>
      </c>
      <c r="Q16" s="189" t="str">
        <f t="shared" ca="1" si="3"/>
        <v>=SUM(L14:L15)</v>
      </c>
    </row>
    <row r="17" spans="4:17">
      <c r="E17" s="68"/>
      <c r="Q17" s="189"/>
    </row>
    <row r="18" spans="4:17">
      <c r="D18" t="str">
        <f>Hist!C19</f>
        <v>Cost Adjustments - (Gain) / Loss</v>
      </c>
      <c r="E18" s="49" t="s">
        <v>212</v>
      </c>
      <c r="I18" s="50">
        <f>Hist!G19</f>
        <v>-7</v>
      </c>
      <c r="J18" s="50">
        <f>Hist!H19</f>
        <v>-4.1999999999999993</v>
      </c>
      <c r="K18" s="50">
        <f>Hist!I19</f>
        <v>76</v>
      </c>
      <c r="L18">
        <f>Inp!L137</f>
        <v>0</v>
      </c>
      <c r="M18">
        <f>Inp!M137</f>
        <v>0</v>
      </c>
      <c r="N18">
        <f>Inp!N137</f>
        <v>0</v>
      </c>
      <c r="O18">
        <f>Inp!O137</f>
        <v>0</v>
      </c>
      <c r="P18">
        <f>Inp!P137</f>
        <v>0</v>
      </c>
      <c r="Q18" s="189" t="str">
        <f t="shared" ref="Q18:Q19" ca="1" si="11">_xlfn.FORMULATEXT(L18)</f>
        <v>=Inp!L137</v>
      </c>
    </row>
    <row r="19" spans="4:17" s="29" customFormat="1">
      <c r="D19" s="29" t="str">
        <f>Hist!C20</f>
        <v>EBITDA</v>
      </c>
      <c r="E19" s="49" t="s">
        <v>212</v>
      </c>
      <c r="I19" s="59">
        <f>I12-I16-I18</f>
        <v>390.39999999999964</v>
      </c>
      <c r="J19" s="59">
        <f t="shared" ref="J19:K19" si="12">J12-J16-J18</f>
        <v>418.29999999999944</v>
      </c>
      <c r="K19" s="59">
        <f t="shared" si="12"/>
        <v>391.49999999999955</v>
      </c>
      <c r="L19" s="29">
        <f t="shared" ref="L19:P19" si="13">L12-L16+L18</f>
        <v>431.4106199999992</v>
      </c>
      <c r="M19" s="29">
        <f t="shared" si="13"/>
        <v>418.32958359599979</v>
      </c>
      <c r="N19" s="29">
        <f t="shared" si="13"/>
        <v>403.99681306956109</v>
      </c>
      <c r="O19" s="29">
        <f t="shared" si="13"/>
        <v>278.17021150429946</v>
      </c>
      <c r="P19" s="29">
        <f t="shared" si="13"/>
        <v>204.10572388149012</v>
      </c>
      <c r="Q19" s="189" t="str">
        <f t="shared" ca="1" si="11"/>
        <v>=L12-L16+L18</v>
      </c>
    </row>
    <row r="20" spans="4:17">
      <c r="E20" s="68"/>
      <c r="Q20" s="189"/>
    </row>
    <row r="21" spans="4:17">
      <c r="D21" t="str">
        <f>Hist!C22</f>
        <v>Depreciation &amp; Amortization</v>
      </c>
      <c r="E21" s="49" t="s">
        <v>212</v>
      </c>
      <c r="I21" s="50">
        <f>Hist!G22</f>
        <v>95.1</v>
      </c>
      <c r="J21" s="50">
        <f>Hist!H22</f>
        <v>113.2</v>
      </c>
      <c r="K21" s="50">
        <f>Hist!I22</f>
        <v>126.2</v>
      </c>
      <c r="L21">
        <f t="shared" ref="L21:P21" si="14">L200</f>
        <v>121.81333333333333</v>
      </c>
      <c r="M21">
        <f t="shared" si="14"/>
        <v>141.64666666666665</v>
      </c>
      <c r="N21">
        <f t="shared" si="14"/>
        <v>163.14666666666665</v>
      </c>
      <c r="O21">
        <f t="shared" si="14"/>
        <v>185.48000000000002</v>
      </c>
      <c r="P21">
        <f t="shared" si="14"/>
        <v>207.81333333333333</v>
      </c>
      <c r="Q21" s="189" t="str">
        <f t="shared" ref="Q21:Q22" ca="1" si="15">_xlfn.FORMULATEXT(L21)</f>
        <v>=L200</v>
      </c>
    </row>
    <row r="22" spans="4:17" s="29" customFormat="1">
      <c r="D22" s="29" t="str">
        <f>Hist!C23</f>
        <v>EBIT</v>
      </c>
      <c r="E22" s="49" t="s">
        <v>212</v>
      </c>
      <c r="I22" s="59">
        <f>I19-I21</f>
        <v>295.29999999999961</v>
      </c>
      <c r="J22" s="59">
        <f t="shared" ref="J22:K22" si="16">J19-J21</f>
        <v>305.09999999999945</v>
      </c>
      <c r="K22" s="59">
        <f t="shared" si="16"/>
        <v>265.29999999999956</v>
      </c>
      <c r="L22" s="29">
        <f t="shared" ref="L22" si="17">L19-L21</f>
        <v>309.59728666666587</v>
      </c>
      <c r="M22" s="29">
        <f t="shared" ref="M22" si="18">M19-M21</f>
        <v>276.68291692933315</v>
      </c>
      <c r="N22" s="29">
        <f t="shared" ref="N22" si="19">N19-N21</f>
        <v>240.85014640289444</v>
      </c>
      <c r="O22" s="29">
        <f t="shared" ref="O22" si="20">O19-O21</f>
        <v>92.690211504299441</v>
      </c>
      <c r="P22" s="29">
        <f t="shared" ref="P22" si="21">P19-P21</f>
        <v>-3.7076094518432114</v>
      </c>
      <c r="Q22" s="189" t="str">
        <f t="shared" ca="1" si="15"/>
        <v>=L19-L21</v>
      </c>
    </row>
    <row r="23" spans="4:17">
      <c r="E23" s="68"/>
      <c r="Q23" s="189"/>
    </row>
    <row r="24" spans="4:17">
      <c r="D24" t="str">
        <f>Hist!C25</f>
        <v>Cost Adjustments - (Gain) / Loss</v>
      </c>
      <c r="E24" s="49" t="s">
        <v>212</v>
      </c>
      <c r="I24" s="50">
        <f>Hist!G25</f>
        <v>116</v>
      </c>
      <c r="J24" s="50">
        <f>Hist!H25</f>
        <v>123.9</v>
      </c>
      <c r="K24" s="50">
        <f>Hist!I25</f>
        <v>105.8</v>
      </c>
      <c r="L24">
        <f>Inp!L138</f>
        <v>0</v>
      </c>
      <c r="M24">
        <f>Inp!M138</f>
        <v>0</v>
      </c>
      <c r="N24">
        <f>Inp!N138</f>
        <v>0</v>
      </c>
      <c r="O24">
        <f>Inp!O138</f>
        <v>0</v>
      </c>
      <c r="P24">
        <f>Inp!P138</f>
        <v>0</v>
      </c>
      <c r="Q24" s="189" t="str">
        <f ca="1">_xlfn.FORMULATEXT(L24)</f>
        <v>=Inp!L138</v>
      </c>
    </row>
    <row r="25" spans="4:17">
      <c r="D25" t="str">
        <f>Hist!C26</f>
        <v>Net Interest Expense</v>
      </c>
      <c r="E25" s="49" t="s">
        <v>212</v>
      </c>
      <c r="I25" s="50">
        <f>Hist!G26</f>
        <v>62</v>
      </c>
      <c r="J25" s="50">
        <f>Hist!H26</f>
        <v>56.599999999999994</v>
      </c>
      <c r="K25" s="50">
        <f>Hist!I26</f>
        <v>59.1</v>
      </c>
      <c r="L25">
        <f t="shared" ref="L25:P25" ca="1" si="22">L342</f>
        <v>59.579944828262093</v>
      </c>
      <c r="M25">
        <f t="shared" ca="1" si="22"/>
        <v>48.306353225307184</v>
      </c>
      <c r="N25">
        <f t="shared" ca="1" si="22"/>
        <v>47.647661387818893</v>
      </c>
      <c r="O25">
        <f t="shared" ca="1" si="22"/>
        <v>49.250115442095165</v>
      </c>
      <c r="P25">
        <f t="shared" ca="1" si="22"/>
        <v>53.724456115332764</v>
      </c>
      <c r="Q25" s="189" t="str">
        <f ca="1">_xlfn.FORMULATEXT(L25)</f>
        <v>=L342</v>
      </c>
    </row>
    <row r="26" spans="4:17" s="29" customFormat="1">
      <c r="D26" s="29" t="str">
        <f>Hist!C27</f>
        <v>EBT</v>
      </c>
      <c r="E26" s="49" t="s">
        <v>212</v>
      </c>
      <c r="I26" s="59">
        <f>I22+I24-I25</f>
        <v>349.29999999999961</v>
      </c>
      <c r="J26" s="59">
        <f t="shared" ref="J26:K26" si="23">J22+J24-J25</f>
        <v>372.39999999999941</v>
      </c>
      <c r="K26" s="59">
        <f t="shared" si="23"/>
        <v>311.99999999999955</v>
      </c>
      <c r="L26" s="29">
        <f t="shared" ref="L26" ca="1" si="24">L22+L24-L25</f>
        <v>250.01734183840378</v>
      </c>
      <c r="M26" s="29">
        <f t="shared" ref="M26" ca="1" si="25">M22+M24-M25</f>
        <v>228.37656370402595</v>
      </c>
      <c r="N26" s="29">
        <f t="shared" ref="N26" ca="1" si="26">N22+N24-N25</f>
        <v>193.20248501507555</v>
      </c>
      <c r="O26" s="29">
        <f t="shared" ref="O26" ca="1" si="27">O22+O24-O25</f>
        <v>43.440096062204276</v>
      </c>
      <c r="P26" s="29">
        <f t="shared" ref="P26" ca="1" si="28">P22+P24-P25</f>
        <v>-57.432065567175975</v>
      </c>
      <c r="Q26" s="189" t="str">
        <f ca="1">_xlfn.FORMULATEXT(L26)</f>
        <v>=L22+L24-L25</v>
      </c>
    </row>
    <row r="27" spans="4:17">
      <c r="E27" s="68"/>
      <c r="Q27" s="189"/>
    </row>
    <row r="28" spans="4:17">
      <c r="D28" t="str">
        <f>Hist!C29</f>
        <v>Current Taxes</v>
      </c>
      <c r="E28" s="49" t="s">
        <v>212</v>
      </c>
      <c r="I28" s="50">
        <f>Hist!G29</f>
        <v>40.5</v>
      </c>
      <c r="J28" s="50">
        <f>Hist!H29</f>
        <v>22.7</v>
      </c>
      <c r="K28" s="50">
        <f>Hist!I29</f>
        <v>24.8</v>
      </c>
      <c r="L28">
        <f ca="1">L228</f>
        <v>81.005202551521137</v>
      </c>
      <c r="M28">
        <f t="shared" ref="M28:P28" ca="1" si="29">M228</f>
        <v>74.512969111207781</v>
      </c>
      <c r="N28">
        <f t="shared" ca="1" si="29"/>
        <v>63.960745504522663</v>
      </c>
      <c r="O28">
        <f t="shared" ca="1" si="29"/>
        <v>19.032028818661281</v>
      </c>
      <c r="P28">
        <f t="shared" ca="1" si="29"/>
        <v>-11.229619670152791</v>
      </c>
      <c r="Q28" s="189" t="str">
        <f t="shared" ref="Q28:Q30" ca="1" si="30">_xlfn.FORMULATEXT(L28)</f>
        <v>=L228</v>
      </c>
    </row>
    <row r="29" spans="4:17">
      <c r="D29" t="str">
        <f>Hist!C30</f>
        <v>Deferred Income Taxes</v>
      </c>
      <c r="E29" s="49" t="s">
        <v>212</v>
      </c>
      <c r="I29" s="50">
        <f>Hist!G30</f>
        <v>16.899999999999999</v>
      </c>
      <c r="J29" s="50">
        <f>Hist!H30</f>
        <v>31.7</v>
      </c>
      <c r="K29" s="50">
        <f>Hist!I30</f>
        <v>23.999999999999996</v>
      </c>
      <c r="L29">
        <f>-L229</f>
        <v>-6</v>
      </c>
      <c r="M29">
        <f t="shared" ref="M29:P29" si="31">-M229</f>
        <v>-6</v>
      </c>
      <c r="N29">
        <f t="shared" si="31"/>
        <v>-6</v>
      </c>
      <c r="O29">
        <f t="shared" si="31"/>
        <v>-6</v>
      </c>
      <c r="P29">
        <f t="shared" si="31"/>
        <v>-6</v>
      </c>
      <c r="Q29" s="189" t="str">
        <f t="shared" ca="1" si="30"/>
        <v>=-L229</v>
      </c>
    </row>
    <row r="30" spans="4:17" s="29" customFormat="1">
      <c r="D30" s="29" t="str">
        <f>Hist!C31</f>
        <v>Total Income Taxes</v>
      </c>
      <c r="E30" s="49" t="s">
        <v>212</v>
      </c>
      <c r="I30" s="59">
        <f t="shared" ref="I30:K30" si="32">SUM(I28:I29)</f>
        <v>57.4</v>
      </c>
      <c r="J30" s="59">
        <f t="shared" si="32"/>
        <v>54.4</v>
      </c>
      <c r="K30" s="59">
        <f t="shared" si="32"/>
        <v>48.8</v>
      </c>
      <c r="L30" s="29">
        <f t="shared" ref="L30" ca="1" si="33">SUM(L28:L29)</f>
        <v>75.005202551521137</v>
      </c>
      <c r="M30" s="29">
        <f t="shared" ref="M30" ca="1" si="34">SUM(M28:M29)</f>
        <v>68.512969111207781</v>
      </c>
      <c r="N30" s="29">
        <f t="shared" ref="N30" ca="1" si="35">SUM(N28:N29)</f>
        <v>57.960745504522663</v>
      </c>
      <c r="O30" s="29">
        <f t="shared" ref="O30" ca="1" si="36">SUM(O28:O29)</f>
        <v>13.032028818661281</v>
      </c>
      <c r="P30" s="29">
        <f t="shared" ref="P30" ca="1" si="37">SUM(P28:P29)</f>
        <v>-17.229619670152793</v>
      </c>
      <c r="Q30" s="189" t="str">
        <f t="shared" ca="1" si="30"/>
        <v>=SUM(L28:L29)</v>
      </c>
    </row>
    <row r="31" spans="4:17">
      <c r="E31" s="68"/>
      <c r="Q31" s="189"/>
    </row>
    <row r="32" spans="4:17" s="29" customFormat="1">
      <c r="D32" s="29" t="str">
        <f>Hist!C33</f>
        <v>Net Income</v>
      </c>
      <c r="E32" s="49" t="s">
        <v>212</v>
      </c>
      <c r="I32" s="59">
        <f>I26-I30</f>
        <v>291.89999999999964</v>
      </c>
      <c r="J32" s="59">
        <f t="shared" ref="J32:P32" si="38">J26-J30</f>
        <v>317.99999999999943</v>
      </c>
      <c r="K32" s="59">
        <f t="shared" si="38"/>
        <v>263.19999999999953</v>
      </c>
      <c r="L32" s="29">
        <f t="shared" ca="1" si="38"/>
        <v>175.01213928688264</v>
      </c>
      <c r="M32" s="29">
        <f t="shared" ca="1" si="38"/>
        <v>159.86359459281817</v>
      </c>
      <c r="N32" s="29">
        <f t="shared" ca="1" si="38"/>
        <v>135.24173951055289</v>
      </c>
      <c r="O32" s="29">
        <f t="shared" ca="1" si="38"/>
        <v>30.408067243542995</v>
      </c>
      <c r="P32" s="29">
        <f t="shared" ca="1" si="38"/>
        <v>-40.202445897023182</v>
      </c>
      <c r="Q32" s="189" t="str">
        <f ca="1">_xlfn.FORMULATEXT(L32)</f>
        <v>=L26-L30</v>
      </c>
    </row>
    <row r="33" spans="2:17">
      <c r="Q33" s="189"/>
    </row>
    <row r="34" spans="2:17">
      <c r="D34" t="s">
        <v>261</v>
      </c>
      <c r="E34" s="49" t="s">
        <v>212</v>
      </c>
      <c r="I34" s="50">
        <f>Hist!G35</f>
        <v>0.54400000000000004</v>
      </c>
      <c r="J34" s="50">
        <f>Hist!H35</f>
        <v>0.54400000000000004</v>
      </c>
      <c r="K34" s="50">
        <f>Hist!I35</f>
        <v>0.54400000000000004</v>
      </c>
      <c r="L34">
        <f>L279</f>
        <v>0.54400000000000004</v>
      </c>
      <c r="M34">
        <f t="shared" ref="M34:P34" si="39">M279</f>
        <v>5.644000000000001</v>
      </c>
      <c r="N34">
        <f t="shared" si="39"/>
        <v>14.994000000000002</v>
      </c>
      <c r="O34">
        <f t="shared" si="39"/>
        <v>23.494</v>
      </c>
      <c r="P34">
        <f t="shared" si="39"/>
        <v>31.994</v>
      </c>
      <c r="Q34" s="189" t="str">
        <f t="shared" ref="Q34:Q35" ca="1" si="40">_xlfn.FORMULATEXT(L34)</f>
        <v>=L279</v>
      </c>
    </row>
    <row r="35" spans="2:17">
      <c r="D35" s="29" t="s">
        <v>12</v>
      </c>
      <c r="E35" s="49" t="s">
        <v>212</v>
      </c>
      <c r="I35" s="29">
        <f t="shared" ref="I35:K35" si="41">I32-I34</f>
        <v>291.35599999999965</v>
      </c>
      <c r="J35" s="29">
        <f t="shared" si="41"/>
        <v>317.45599999999945</v>
      </c>
      <c r="K35" s="29">
        <f t="shared" si="41"/>
        <v>262.65599999999955</v>
      </c>
      <c r="L35" s="29">
        <f ca="1">L32-L34</f>
        <v>174.46813928688263</v>
      </c>
      <c r="M35" s="29">
        <f ca="1">M32-M34</f>
        <v>154.21959459281817</v>
      </c>
      <c r="N35" s="29">
        <f ca="1">N32-N34</f>
        <v>120.24773951055289</v>
      </c>
      <c r="O35" s="29">
        <f ca="1">O32-O34</f>
        <v>6.9140672435429948</v>
      </c>
      <c r="P35" s="29">
        <f ca="1">P32-P34</f>
        <v>-72.196445897023182</v>
      </c>
      <c r="Q35" s="189" t="str">
        <f t="shared" ca="1" si="40"/>
        <v>=L32-L34</v>
      </c>
    </row>
    <row r="36" spans="2:17">
      <c r="E36" s="68"/>
      <c r="Q36" s="189"/>
    </row>
    <row r="37" spans="2:17">
      <c r="C37" s="89"/>
      <c r="D37" s="90" t="s">
        <v>107</v>
      </c>
      <c r="E37" s="86" t="s">
        <v>212</v>
      </c>
      <c r="F37" s="90"/>
      <c r="G37" s="90"/>
      <c r="H37" s="90"/>
      <c r="I37" s="91">
        <f t="shared" ref="I37:P37" si="42">I19/I12</f>
        <v>0.12222535299458365</v>
      </c>
      <c r="J37" s="91">
        <f t="shared" si="42"/>
        <v>0.11867676681703392</v>
      </c>
      <c r="K37" s="91">
        <f t="shared" si="42"/>
        <v>0.10224067690379179</v>
      </c>
      <c r="L37" s="91">
        <f t="shared" si="42"/>
        <v>0.10968335408748582</v>
      </c>
      <c r="M37" s="91">
        <f t="shared" si="42"/>
        <v>0.10353924456948416</v>
      </c>
      <c r="N37" s="91">
        <f t="shared" si="42"/>
        <v>9.7337403241340409E-2</v>
      </c>
      <c r="O37" s="91">
        <f t="shared" si="42"/>
        <v>6.7509181421890455E-2</v>
      </c>
      <c r="P37" s="92">
        <f t="shared" si="42"/>
        <v>4.9044016697571829E-2</v>
      </c>
      <c r="Q37" s="189" t="str">
        <f ca="1">_xlfn.FORMULATEXT(L37)</f>
        <v>=L19/L12</v>
      </c>
    </row>
    <row r="38" spans="2:17">
      <c r="C38" s="93" t="s">
        <v>112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5"/>
      <c r="Q38" s="189"/>
    </row>
    <row r="39" spans="2:17">
      <c r="C39" s="96"/>
      <c r="D39" s="94" t="s">
        <v>109</v>
      </c>
      <c r="E39" s="87" t="s">
        <v>212</v>
      </c>
      <c r="F39" s="94"/>
      <c r="G39" s="94"/>
      <c r="H39" s="94"/>
      <c r="I39" s="97">
        <f t="shared" ref="I39:P39" si="43">I32/I115</f>
        <v>-7.060274767801852</v>
      </c>
      <c r="J39" s="97">
        <f t="shared" si="43"/>
        <v>-11.36201229098182</v>
      </c>
      <c r="K39" s="97">
        <f t="shared" si="43"/>
        <v>-16.730231375540313</v>
      </c>
      <c r="L39" s="97">
        <f t="shared" ca="1" si="43"/>
        <v>5.0027618178131901</v>
      </c>
      <c r="M39" s="97">
        <f t="shared" ca="1" si="43"/>
        <v>0.69737317179026925</v>
      </c>
      <c r="N39" s="97">
        <f t="shared" ca="1" si="43"/>
        <v>0.34180083504823061</v>
      </c>
      <c r="O39" s="97">
        <f t="shared" ca="1" si="43"/>
        <v>6.4018849587545959E-2</v>
      </c>
      <c r="P39" s="98">
        <f t="shared" ca="1" si="43"/>
        <v>-8.3271132543683651E-2</v>
      </c>
      <c r="Q39" s="189" t="str">
        <f t="shared" ref="Q39:Q42" ca="1" si="44">_xlfn.FORMULATEXT(L39)</f>
        <v>=L32/L115</v>
      </c>
    </row>
    <row r="40" spans="2:17">
      <c r="C40" s="96"/>
      <c r="D40" s="94" t="s">
        <v>108</v>
      </c>
      <c r="E40" s="87" t="s">
        <v>212</v>
      </c>
      <c r="F40" s="94"/>
      <c r="G40" s="94"/>
      <c r="H40" s="94"/>
      <c r="I40" s="97">
        <f t="shared" ref="I40:P40" si="45">I32/I12</f>
        <v>9.1387245233398973E-2</v>
      </c>
      <c r="J40" s="97">
        <f t="shared" si="45"/>
        <v>9.0220444293131169E-2</v>
      </c>
      <c r="K40" s="97">
        <f t="shared" si="45"/>
        <v>6.8734983808628317E-2</v>
      </c>
      <c r="L40" s="97">
        <f t="shared" ca="1" si="45"/>
        <v>4.4495702129473708E-2</v>
      </c>
      <c r="M40" s="97">
        <f t="shared" ca="1" si="45"/>
        <v>3.9567261000330894E-2</v>
      </c>
      <c r="N40" s="97">
        <f t="shared" ca="1" si="45"/>
        <v>3.258461281854811E-2</v>
      </c>
      <c r="O40" s="97">
        <f t="shared" ca="1" si="45"/>
        <v>7.3797396102625442E-3</v>
      </c>
      <c r="P40" s="98">
        <f t="shared" ca="1" si="45"/>
        <v>-9.660137846019717E-3</v>
      </c>
      <c r="Q40" s="189" t="str">
        <f t="shared" ca="1" si="44"/>
        <v>=L32/L12</v>
      </c>
    </row>
    <row r="41" spans="2:17">
      <c r="C41" s="96"/>
      <c r="D41" s="94" t="s">
        <v>110</v>
      </c>
      <c r="E41" s="87" t="s">
        <v>212</v>
      </c>
      <c r="F41" s="94"/>
      <c r="G41" s="94"/>
      <c r="H41" s="94"/>
      <c r="I41" s="99">
        <f t="shared" ref="I41:P41" si="46">I12/I95</f>
        <v>1.6492861922819539</v>
      </c>
      <c r="J41" s="99">
        <f t="shared" si="46"/>
        <v>1.2033339797180851</v>
      </c>
      <c r="K41" s="99">
        <f t="shared" si="46"/>
        <v>1.3603963097491516</v>
      </c>
      <c r="L41" s="99">
        <f t="shared" ca="1" si="46"/>
        <v>1.6604925665942565</v>
      </c>
      <c r="M41" s="99">
        <f t="shared" ca="1" si="46"/>
        <v>1.5787387718337564</v>
      </c>
      <c r="N41" s="99">
        <f t="shared" ca="1" si="46"/>
        <v>1.5068241982355517</v>
      </c>
      <c r="O41" s="99">
        <f t="shared" ca="1" si="46"/>
        <v>1.418458797892644</v>
      </c>
      <c r="P41" s="100">
        <f t="shared" ca="1" si="46"/>
        <v>1.3643265047216646</v>
      </c>
      <c r="Q41" s="189" t="str">
        <f t="shared" ca="1" si="44"/>
        <v>=L12/L95</v>
      </c>
    </row>
    <row r="42" spans="2:17">
      <c r="C42" s="101"/>
      <c r="D42" s="102" t="s">
        <v>111</v>
      </c>
      <c r="E42" s="88" t="s">
        <v>212</v>
      </c>
      <c r="F42" s="102"/>
      <c r="G42" s="102"/>
      <c r="H42" s="102"/>
      <c r="I42" s="103">
        <f t="shared" ref="I42:P42" si="47">I95/I115</f>
        <v>-46.842492260061938</v>
      </c>
      <c r="J42" s="103">
        <f t="shared" si="47"/>
        <v>-104.65599542661131</v>
      </c>
      <c r="K42" s="103">
        <f t="shared" si="47"/>
        <v>-178.91990846681966</v>
      </c>
      <c r="L42" s="103">
        <f t="shared" ca="1" si="47"/>
        <v>67.710313810792954</v>
      </c>
      <c r="M42" s="103">
        <f t="shared" ca="1" si="47"/>
        <v>11.163978034050883</v>
      </c>
      <c r="N42" s="103">
        <f t="shared" ca="1" si="47"/>
        <v>6.9614221139571848</v>
      </c>
      <c r="O42" s="103">
        <f t="shared" ca="1" si="47"/>
        <v>6.1157553239966091</v>
      </c>
      <c r="P42" s="104">
        <f t="shared" ca="1" si="47"/>
        <v>6.3181921775290864</v>
      </c>
      <c r="Q42" s="189" t="str">
        <f t="shared" ca="1" si="44"/>
        <v>=L95/L115</v>
      </c>
    </row>
    <row r="43" spans="2:17">
      <c r="E43" s="68"/>
      <c r="I43" s="44"/>
      <c r="Q43" s="189"/>
    </row>
    <row r="44" spans="2:17">
      <c r="E44" s="68"/>
      <c r="Q44" s="189"/>
    </row>
    <row r="45" spans="2:17" ht="13.25" thickBot="1">
      <c r="B45" s="36" t="s">
        <v>13</v>
      </c>
      <c r="C45" s="36"/>
      <c r="D45" s="36"/>
      <c r="E45" s="82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189"/>
    </row>
    <row r="46" spans="2:17">
      <c r="E46" s="68"/>
      <c r="Q46" s="189"/>
    </row>
    <row r="47" spans="2:17">
      <c r="C47" s="38" t="str">
        <f>Hist!B48</f>
        <v>Operating Activities</v>
      </c>
      <c r="E47" s="68"/>
      <c r="Q47" s="189"/>
    </row>
    <row r="48" spans="2:17">
      <c r="D48" t="str">
        <f>Hist!C49</f>
        <v>Net Income</v>
      </c>
      <c r="E48" s="49" t="s">
        <v>212</v>
      </c>
      <c r="I48" s="50">
        <f>Hist!G49</f>
        <v>59.9</v>
      </c>
      <c r="J48" s="50">
        <f>Hist!H49</f>
        <v>70.2</v>
      </c>
      <c r="K48" s="50">
        <f>Hist!I49</f>
        <v>51.6</v>
      </c>
      <c r="L48">
        <f ca="1">L32</f>
        <v>175.01213928688264</v>
      </c>
      <c r="M48">
        <f ca="1">M32</f>
        <v>159.86359459281817</v>
      </c>
      <c r="N48">
        <f ca="1">N32</f>
        <v>135.24173951055289</v>
      </c>
      <c r="O48">
        <f ca="1">O32</f>
        <v>30.408067243542995</v>
      </c>
      <c r="P48">
        <f ca="1">P32</f>
        <v>-40.202445897023182</v>
      </c>
      <c r="Q48" s="189" t="str">
        <f t="shared" ref="Q48:Q54" ca="1" si="48">_xlfn.FORMULATEXT(L48)</f>
        <v>=L32</v>
      </c>
    </row>
    <row r="49" spans="3:17">
      <c r="D49" t="str">
        <f>Hist!C50</f>
        <v>Depreciation</v>
      </c>
      <c r="E49" s="49" t="s">
        <v>212</v>
      </c>
      <c r="I49" s="50">
        <f>Hist!G50</f>
        <v>95.1</v>
      </c>
      <c r="J49" s="50">
        <f>Hist!H50</f>
        <v>113.2</v>
      </c>
      <c r="K49" s="50">
        <f>Hist!I50</f>
        <v>126.2</v>
      </c>
      <c r="L49">
        <f>L21</f>
        <v>121.81333333333333</v>
      </c>
      <c r="M49">
        <f>M21</f>
        <v>141.64666666666665</v>
      </c>
      <c r="N49">
        <f>N21</f>
        <v>163.14666666666665</v>
      </c>
      <c r="O49">
        <f>O21</f>
        <v>185.48000000000002</v>
      </c>
      <c r="P49">
        <f>P21</f>
        <v>207.81333333333333</v>
      </c>
      <c r="Q49" s="189" t="str">
        <f t="shared" ca="1" si="48"/>
        <v>=L21</v>
      </c>
    </row>
    <row r="50" spans="3:17">
      <c r="D50" t="str">
        <f>Hist!C51</f>
        <v>Deferred Income Taxes</v>
      </c>
      <c r="E50" s="49" t="s">
        <v>212</v>
      </c>
      <c r="I50" s="50">
        <f>Hist!G51</f>
        <v>16.899999999999999</v>
      </c>
      <c r="J50" s="50">
        <f>Hist!H51</f>
        <v>31.7</v>
      </c>
      <c r="K50" s="50">
        <f>Hist!I51</f>
        <v>24</v>
      </c>
      <c r="L50">
        <f>L29</f>
        <v>-6</v>
      </c>
      <c r="M50">
        <f t="shared" ref="M50:P50" si="49">M29</f>
        <v>-6</v>
      </c>
      <c r="N50">
        <f t="shared" si="49"/>
        <v>-6</v>
      </c>
      <c r="O50">
        <f t="shared" si="49"/>
        <v>-6</v>
      </c>
      <c r="P50">
        <f t="shared" si="49"/>
        <v>-6</v>
      </c>
      <c r="Q50" s="189" t="str">
        <f t="shared" ca="1" si="48"/>
        <v>=L29</v>
      </c>
    </row>
    <row r="51" spans="3:17">
      <c r="D51" t="str">
        <f>Hist!C52</f>
        <v>Changes in Working Capital</v>
      </c>
      <c r="E51" s="49" t="s">
        <v>212</v>
      </c>
      <c r="I51" s="50">
        <f>Hist!G52</f>
        <v>-119</v>
      </c>
      <c r="J51" s="50">
        <f>Hist!H52</f>
        <v>-4.5</v>
      </c>
      <c r="K51" s="50">
        <f>Hist!I52</f>
        <v>-83.800000000000011</v>
      </c>
      <c r="L51">
        <f>L252</f>
        <v>-3.954907446575362</v>
      </c>
      <c r="M51">
        <f>M252</f>
        <v>-2.6349747553941825</v>
      </c>
      <c r="N51">
        <f>N252</f>
        <v>-2.6610986797229543</v>
      </c>
      <c r="O51">
        <f>O252</f>
        <v>7.3344463083884648</v>
      </c>
      <c r="P51">
        <f>P252</f>
        <v>1.90078065168791</v>
      </c>
      <c r="Q51" s="189" t="str">
        <f t="shared" ca="1" si="48"/>
        <v>=L252</v>
      </c>
    </row>
    <row r="52" spans="3:17">
      <c r="D52" t="s">
        <v>198</v>
      </c>
      <c r="E52" s="49" t="s">
        <v>212</v>
      </c>
      <c r="I52" s="50"/>
      <c r="J52" s="50"/>
      <c r="K52" s="50"/>
      <c r="L52">
        <f>-Inp!L140</f>
        <v>0</v>
      </c>
      <c r="M52">
        <f>-Inp!M140</f>
        <v>0</v>
      </c>
      <c r="N52">
        <f>-Inp!N140</f>
        <v>0</v>
      </c>
      <c r="O52">
        <f>-Inp!O140</f>
        <v>0</v>
      </c>
      <c r="P52">
        <f>-Inp!P140</f>
        <v>0</v>
      </c>
      <c r="Q52" s="189" t="str">
        <f t="shared" ca="1" si="48"/>
        <v>=-Inp!L140</v>
      </c>
    </row>
    <row r="53" spans="3:17">
      <c r="D53" t="str">
        <f>Hist!C53</f>
        <v>Other</v>
      </c>
      <c r="E53" s="49" t="s">
        <v>212</v>
      </c>
      <c r="I53" s="50">
        <f>Hist!G53</f>
        <v>161.9</v>
      </c>
      <c r="J53" s="50">
        <f>Hist!H53</f>
        <v>164.2</v>
      </c>
      <c r="K53" s="50">
        <f>Hist!I53</f>
        <v>242.10000000000002</v>
      </c>
      <c r="L53">
        <f>-Inp!L142</f>
        <v>0</v>
      </c>
      <c r="M53">
        <f>-Inp!M142</f>
        <v>0</v>
      </c>
      <c r="N53">
        <f>-Inp!N142</f>
        <v>0</v>
      </c>
      <c r="O53">
        <f>-Inp!O142</f>
        <v>0</v>
      </c>
      <c r="P53">
        <f>-Inp!P142</f>
        <v>0</v>
      </c>
      <c r="Q53" s="189" t="str">
        <f t="shared" ca="1" si="48"/>
        <v>=-Inp!L142</v>
      </c>
    </row>
    <row r="54" spans="3:17" s="29" customFormat="1">
      <c r="D54" s="29" t="str">
        <f>Hist!C54</f>
        <v>Operating Cash Flow</v>
      </c>
      <c r="E54" s="49" t="s">
        <v>212</v>
      </c>
      <c r="I54" s="59">
        <f>SUM(I48:I53)</f>
        <v>214.8</v>
      </c>
      <c r="J54" s="59">
        <f t="shared" ref="J54:K54" si="50">SUM(J48:J53)</f>
        <v>374.79999999999995</v>
      </c>
      <c r="K54" s="59">
        <f t="shared" si="50"/>
        <v>360.1</v>
      </c>
      <c r="L54" s="29">
        <f ca="1">SUM(L48:L53)</f>
        <v>286.87056517364061</v>
      </c>
      <c r="M54" s="29">
        <f t="shared" ref="M54:P54" ca="1" si="51">SUM(M48:M53)</f>
        <v>292.87528650409064</v>
      </c>
      <c r="N54" s="29">
        <f t="shared" ca="1" si="51"/>
        <v>289.72730749749655</v>
      </c>
      <c r="O54" s="29">
        <f t="shared" ca="1" si="51"/>
        <v>217.22251355193148</v>
      </c>
      <c r="P54" s="29">
        <f t="shared" ca="1" si="51"/>
        <v>163.51166808799806</v>
      </c>
      <c r="Q54" s="189" t="str">
        <f t="shared" ca="1" si="48"/>
        <v>=SUM(L48:L53)</v>
      </c>
    </row>
    <row r="55" spans="3:17">
      <c r="E55" s="68"/>
      <c r="Q55" s="189"/>
    </row>
    <row r="56" spans="3:17">
      <c r="C56" s="38" t="str">
        <f>Hist!B57</f>
        <v>Investing Activities</v>
      </c>
      <c r="E56" s="68"/>
      <c r="Q56" s="189"/>
    </row>
    <row r="57" spans="3:17">
      <c r="D57" t="str">
        <f>Hist!C58</f>
        <v>CAPEX</v>
      </c>
      <c r="E57" s="49" t="s">
        <v>212</v>
      </c>
      <c r="I57" s="50">
        <f>Hist!G58</f>
        <v>-134.4</v>
      </c>
      <c r="J57" s="50">
        <f>Hist!H58</f>
        <v>-158.69999999999999</v>
      </c>
      <c r="K57" s="50">
        <f>Hist!I58</f>
        <v>-194.1</v>
      </c>
      <c r="L57">
        <f>-L167</f>
        <v>-225</v>
      </c>
      <c r="M57">
        <f t="shared" ref="M57:P57" si="52">-M167</f>
        <v>-250</v>
      </c>
      <c r="N57">
        <f t="shared" si="52"/>
        <v>-275</v>
      </c>
      <c r="O57">
        <f t="shared" si="52"/>
        <v>-275</v>
      </c>
      <c r="P57">
        <f t="shared" si="52"/>
        <v>-275</v>
      </c>
      <c r="Q57" s="189" t="str">
        <f t="shared" ref="Q57:Q60" ca="1" si="53">_xlfn.FORMULATEXT(L57)</f>
        <v>=-L167</v>
      </c>
    </row>
    <row r="58" spans="3:17">
      <c r="D58" t="s">
        <v>196</v>
      </c>
      <c r="E58" s="49" t="s">
        <v>212</v>
      </c>
      <c r="I58" s="50">
        <f>Hist!G60</f>
        <v>-14.899999999999999</v>
      </c>
      <c r="J58" s="50">
        <f>Hist!H60</f>
        <v>-11.3</v>
      </c>
      <c r="K58" s="50">
        <f>Hist!I60</f>
        <v>-15.4</v>
      </c>
      <c r="L58">
        <f>-L185</f>
        <v>-40</v>
      </c>
      <c r="M58">
        <f t="shared" ref="M58:P58" si="54">-M185</f>
        <v>-40</v>
      </c>
      <c r="N58">
        <f t="shared" si="54"/>
        <v>-40</v>
      </c>
      <c r="O58">
        <f t="shared" si="54"/>
        <v>-40</v>
      </c>
      <c r="P58">
        <f t="shared" si="54"/>
        <v>-40</v>
      </c>
      <c r="Q58" s="189" t="str">
        <f t="shared" ca="1" si="53"/>
        <v>=-L185</v>
      </c>
    </row>
    <row r="59" spans="3:17">
      <c r="D59" t="str">
        <f>Hist!C60</f>
        <v>Other</v>
      </c>
      <c r="E59" s="49" t="s">
        <v>212</v>
      </c>
      <c r="I59" s="50">
        <f>Hist!G60</f>
        <v>-14.899999999999999</v>
      </c>
      <c r="J59" s="50">
        <f>Hist!H60</f>
        <v>-11.3</v>
      </c>
      <c r="K59" s="50">
        <f>Hist!I60</f>
        <v>-15.4</v>
      </c>
      <c r="L59">
        <f>-Inp!L143</f>
        <v>0</v>
      </c>
      <c r="M59">
        <f>-Inp!M143</f>
        <v>0</v>
      </c>
      <c r="N59">
        <f>-Inp!N143</f>
        <v>0</v>
      </c>
      <c r="O59">
        <f>-Inp!O143</f>
        <v>0</v>
      </c>
      <c r="P59">
        <f>-Inp!P143</f>
        <v>0</v>
      </c>
      <c r="Q59" s="189" t="str">
        <f t="shared" ca="1" si="53"/>
        <v>=-Inp!L143</v>
      </c>
    </row>
    <row r="60" spans="3:17" s="29" customFormat="1">
      <c r="D60" s="29" t="str">
        <f>Hist!C61</f>
        <v>Investing Cash Flow</v>
      </c>
      <c r="E60" s="49" t="s">
        <v>212</v>
      </c>
      <c r="I60" s="59">
        <f t="shared" ref="I60:K60" si="55">SUM(I57:I59)</f>
        <v>-164.20000000000002</v>
      </c>
      <c r="J60" s="59">
        <f t="shared" si="55"/>
        <v>-181.3</v>
      </c>
      <c r="K60" s="59">
        <f t="shared" si="55"/>
        <v>-224.9</v>
      </c>
      <c r="L60" s="29">
        <f t="shared" ref="L60" si="56">SUM(L57:L59)</f>
        <v>-265</v>
      </c>
      <c r="M60" s="29">
        <f t="shared" ref="M60" si="57">SUM(M57:M59)</f>
        <v>-290</v>
      </c>
      <c r="N60" s="29">
        <f t="shared" ref="N60" si="58">SUM(N57:N59)</f>
        <v>-315</v>
      </c>
      <c r="O60" s="29">
        <f t="shared" ref="O60" si="59">SUM(O57:O59)</f>
        <v>-315</v>
      </c>
      <c r="P60" s="29">
        <f t="shared" ref="P60" si="60">SUM(P57:P59)</f>
        <v>-315</v>
      </c>
      <c r="Q60" s="189" t="str">
        <f t="shared" ca="1" si="53"/>
        <v>=SUM(L57:L59)</v>
      </c>
    </row>
    <row r="61" spans="3:17" s="29" customFormat="1">
      <c r="E61" s="68"/>
      <c r="Q61" s="189"/>
    </row>
    <row r="62" spans="3:17">
      <c r="C62" s="38" t="str">
        <f>Hist!B64</f>
        <v>Financing Activities</v>
      </c>
      <c r="E62" s="68"/>
      <c r="Q62" s="189"/>
    </row>
    <row r="63" spans="3:17">
      <c r="D63" t="str">
        <f>Hist!C65</f>
        <v>Revolver Issuance / (Repayment)</v>
      </c>
      <c r="E63" s="49" t="s">
        <v>212</v>
      </c>
      <c r="I63" s="50">
        <f>Hist!G65</f>
        <v>10.3</v>
      </c>
      <c r="J63" s="50">
        <f>Hist!H65</f>
        <v>589.5</v>
      </c>
      <c r="K63" s="50">
        <f>Hist!I65</f>
        <v>-200</v>
      </c>
      <c r="L63">
        <f ca="1">L332</f>
        <v>-355.94153035191999</v>
      </c>
      <c r="M63">
        <f ca="1">M332</f>
        <v>137.7346121441139</v>
      </c>
      <c r="N63">
        <f ca="1">N332</f>
        <v>169.07712738014166</v>
      </c>
      <c r="O63">
        <f ca="1">O332</f>
        <v>223.87350325895429</v>
      </c>
      <c r="P63">
        <f ca="1">P332</f>
        <v>278.482331912002</v>
      </c>
      <c r="Q63" s="189" t="str">
        <f t="shared" ref="Q63:Q71" ca="1" si="61">_xlfn.FORMULATEXT(L63)</f>
        <v>=L332</v>
      </c>
    </row>
    <row r="64" spans="3:17">
      <c r="D64" t="str">
        <f>Hist!C66</f>
        <v>Variable Rate Long Term Debt Issue / (Repayment)</v>
      </c>
      <c r="E64" s="49" t="s">
        <v>212</v>
      </c>
      <c r="I64" s="50">
        <f>Hist!G66</f>
        <v>0</v>
      </c>
      <c r="J64" s="50">
        <f>Hist!H66</f>
        <v>0</v>
      </c>
      <c r="K64" s="50">
        <f>Hist!I66</f>
        <v>0</v>
      </c>
      <c r="L64">
        <f>-L308</f>
        <v>-25</v>
      </c>
      <c r="M64">
        <f t="shared" ref="M64:P64" si="62">-M308</f>
        <v>-25</v>
      </c>
      <c r="N64">
        <f t="shared" si="62"/>
        <v>-25</v>
      </c>
      <c r="O64">
        <f t="shared" si="62"/>
        <v>-25</v>
      </c>
      <c r="P64">
        <f t="shared" si="62"/>
        <v>-25</v>
      </c>
      <c r="Q64" s="189" t="str">
        <f t="shared" ca="1" si="61"/>
        <v>=-L308</v>
      </c>
    </row>
    <row r="65" spans="2:19">
      <c r="D65" t="str">
        <f>Hist!C67</f>
        <v>Fixed Rate Long Term Debt Issue / (Repayment)</v>
      </c>
      <c r="E65" s="49" t="s">
        <v>212</v>
      </c>
      <c r="I65" s="50">
        <f>Hist!G67</f>
        <v>-259.3</v>
      </c>
      <c r="J65" s="50">
        <f>Hist!H67</f>
        <v>4.7</v>
      </c>
      <c r="K65" s="50">
        <f>Hist!I67</f>
        <v>-10</v>
      </c>
      <c r="L65">
        <f>-L301</f>
        <v>-150</v>
      </c>
      <c r="M65">
        <f t="shared" ref="M65:P65" si="63">-M301</f>
        <v>-150</v>
      </c>
      <c r="N65">
        <f t="shared" si="63"/>
        <v>-150</v>
      </c>
      <c r="O65">
        <f t="shared" si="63"/>
        <v>-150</v>
      </c>
      <c r="P65">
        <f t="shared" si="63"/>
        <v>-150</v>
      </c>
      <c r="Q65" s="189" t="str">
        <f t="shared" ca="1" si="61"/>
        <v>=-L301</v>
      </c>
    </row>
    <row r="66" spans="2:19">
      <c r="D66" t="str">
        <f>Hist!C68</f>
        <v>Preferred Share Issuance/ (Buy-Back)</v>
      </c>
      <c r="E66" s="49" t="s">
        <v>212</v>
      </c>
      <c r="I66" s="50">
        <f>Hist!G68</f>
        <v>0</v>
      </c>
      <c r="J66" s="50">
        <f>Hist!H68</f>
        <v>0</v>
      </c>
      <c r="K66" s="50">
        <f>Hist!I68</f>
        <v>0</v>
      </c>
      <c r="L66">
        <f>L273</f>
        <v>0</v>
      </c>
      <c r="M66">
        <f t="shared" ref="M66:P66" si="64">M273</f>
        <v>120</v>
      </c>
      <c r="N66">
        <f t="shared" si="64"/>
        <v>100</v>
      </c>
      <c r="O66">
        <f t="shared" si="64"/>
        <v>100</v>
      </c>
      <c r="P66">
        <f t="shared" si="64"/>
        <v>100</v>
      </c>
      <c r="Q66" s="189" t="str">
        <f t="shared" ca="1" si="61"/>
        <v>=L273</v>
      </c>
    </row>
    <row r="67" spans="2:19">
      <c r="D67" t="str">
        <f>Hist!C69</f>
        <v>Common Share Issuance/ (Buy-Back)</v>
      </c>
      <c r="E67" s="49" t="s">
        <v>212</v>
      </c>
      <c r="I67" s="50">
        <f>Hist!G69</f>
        <v>300.2</v>
      </c>
      <c r="J67" s="50">
        <f>Hist!H69</f>
        <v>0.5</v>
      </c>
      <c r="K67" s="50">
        <f>Hist!I69</f>
        <v>-94</v>
      </c>
      <c r="L67">
        <f>L264</f>
        <v>-80</v>
      </c>
      <c r="M67">
        <f>M264</f>
        <v>-40</v>
      </c>
      <c r="N67">
        <f>N264</f>
        <v>-20</v>
      </c>
      <c r="O67">
        <f>O264</f>
        <v>-20</v>
      </c>
      <c r="P67">
        <f>P264</f>
        <v>-20</v>
      </c>
      <c r="Q67" s="189" t="str">
        <f t="shared" ca="1" si="61"/>
        <v>=L264</v>
      </c>
    </row>
    <row r="68" spans="2:19">
      <c r="D68" t="str">
        <f>Hist!C70</f>
        <v>Preferred Share Dividends</v>
      </c>
      <c r="E68" s="49" t="s">
        <v>212</v>
      </c>
      <c r="I68" s="50">
        <f>Hist!G70</f>
        <v>-0.54400000000000004</v>
      </c>
      <c r="J68" s="50">
        <f>Hist!H70</f>
        <v>-0.54400000000000004</v>
      </c>
      <c r="K68" s="50">
        <f>Hist!I70</f>
        <v>-0.54400000000000004</v>
      </c>
      <c r="L68">
        <f>-L279</f>
        <v>-0.54400000000000004</v>
      </c>
      <c r="M68">
        <f t="shared" ref="M68:P68" si="65">-M279</f>
        <v>-5.644000000000001</v>
      </c>
      <c r="N68">
        <f t="shared" si="65"/>
        <v>-14.994000000000002</v>
      </c>
      <c r="O68">
        <f t="shared" si="65"/>
        <v>-23.494</v>
      </c>
      <c r="P68">
        <f t="shared" si="65"/>
        <v>-31.994</v>
      </c>
      <c r="Q68" s="189" t="str">
        <f t="shared" ca="1" si="61"/>
        <v>=-L279</v>
      </c>
    </row>
    <row r="69" spans="2:19">
      <c r="D69" t="str">
        <f>Hist!C71</f>
        <v>Common Share Dividends</v>
      </c>
      <c r="E69" s="49" t="s">
        <v>212</v>
      </c>
      <c r="I69" s="50">
        <f>Hist!G71</f>
        <v>-483</v>
      </c>
      <c r="J69" s="50">
        <f>Hist!H71</f>
        <v>0</v>
      </c>
      <c r="K69" s="50">
        <f>Hist!I71</f>
        <v>0</v>
      </c>
      <c r="L69">
        <f ca="1">-L269</f>
        <v>-43.753034821720661</v>
      </c>
      <c r="M69">
        <f t="shared" ref="M69:P69" ca="1" si="66">-M269</f>
        <v>-39.965898648204544</v>
      </c>
      <c r="N69">
        <f t="shared" ca="1" si="66"/>
        <v>-33.810434877638222</v>
      </c>
      <c r="O69">
        <f t="shared" ca="1" si="66"/>
        <v>-7.6020168108857487</v>
      </c>
      <c r="P69">
        <f t="shared" ca="1" si="66"/>
        <v>0</v>
      </c>
      <c r="Q69" s="189" t="str">
        <f t="shared" ca="1" si="61"/>
        <v>=-L269</v>
      </c>
    </row>
    <row r="70" spans="2:19">
      <c r="D70" t="str">
        <f>Hist!C72</f>
        <v>Other</v>
      </c>
      <c r="E70" s="49" t="s">
        <v>212</v>
      </c>
      <c r="I70" s="50">
        <f>Hist!G72</f>
        <v>-102.70000000000002</v>
      </c>
      <c r="J70" s="50">
        <f>Hist!H72</f>
        <v>-46.3</v>
      </c>
      <c r="K70" s="50">
        <f>Hist!I72</f>
        <v>-54.1</v>
      </c>
      <c r="L70">
        <f>Inp!L141+Inp!L144</f>
        <v>0</v>
      </c>
      <c r="M70">
        <f>Inp!M141+Inp!M144</f>
        <v>0</v>
      </c>
      <c r="N70">
        <f>Inp!N141+Inp!N144</f>
        <v>0</v>
      </c>
      <c r="O70">
        <f>Inp!O141+Inp!O144</f>
        <v>0</v>
      </c>
      <c r="P70">
        <f>Inp!P141+Inp!P144</f>
        <v>0</v>
      </c>
      <c r="Q70" s="189" t="str">
        <f t="shared" ca="1" si="61"/>
        <v>=Inp!L141+Inp!L144</v>
      </c>
    </row>
    <row r="71" spans="2:19" s="29" customFormat="1">
      <c r="D71" s="29" t="str">
        <f>Hist!C73</f>
        <v>Financing Cash Flow</v>
      </c>
      <c r="E71" s="49" t="s">
        <v>212</v>
      </c>
      <c r="I71" s="59">
        <f>SUM(I63:I70)</f>
        <v>-535.04399999999998</v>
      </c>
      <c r="J71" s="59">
        <f t="shared" ref="J71:P71" si="67">SUM(J63:J70)</f>
        <v>547.85600000000011</v>
      </c>
      <c r="K71" s="59">
        <f t="shared" si="67"/>
        <v>-358.64400000000001</v>
      </c>
      <c r="L71" s="29">
        <f t="shared" ca="1" si="67"/>
        <v>-655.23856517364061</v>
      </c>
      <c r="M71" s="29">
        <f t="shared" ca="1" si="67"/>
        <v>-2.8752865040906457</v>
      </c>
      <c r="N71" s="29">
        <f t="shared" ca="1" si="67"/>
        <v>25.272692502503439</v>
      </c>
      <c r="O71" s="29">
        <f t="shared" ca="1" si="67"/>
        <v>97.777486448068544</v>
      </c>
      <c r="P71" s="29">
        <f t="shared" ca="1" si="67"/>
        <v>151.488331912002</v>
      </c>
      <c r="Q71" s="189" t="str">
        <f t="shared" ca="1" si="61"/>
        <v>=SUM(L63:L70)</v>
      </c>
    </row>
    <row r="72" spans="2:19">
      <c r="E72" s="68"/>
      <c r="Q72" s="189"/>
    </row>
    <row r="73" spans="2:19" s="29" customFormat="1">
      <c r="D73" s="29" t="str">
        <f>Hist!C75</f>
        <v>Change in Cash Position</v>
      </c>
      <c r="E73" s="49" t="s">
        <v>212</v>
      </c>
      <c r="I73" s="59">
        <f>SUM(I71,I60,I54)</f>
        <v>-484.44400000000002</v>
      </c>
      <c r="J73" s="59">
        <f>SUM(J71,J60,J54)</f>
        <v>741.35599999999999</v>
      </c>
      <c r="K73" s="59">
        <f>SUM(K71,K60,K54)</f>
        <v>-223.44399999999996</v>
      </c>
      <c r="L73" s="29">
        <f t="shared" ref="L73:P73" ca="1" si="68">SUM(L71,L60,L54)</f>
        <v>-633.36799999999994</v>
      </c>
      <c r="M73" s="29">
        <f t="shared" ca="1" si="68"/>
        <v>0</v>
      </c>
      <c r="N73" s="29">
        <f t="shared" ca="1" si="68"/>
        <v>0</v>
      </c>
      <c r="O73" s="29">
        <f t="shared" ca="1" si="68"/>
        <v>0</v>
      </c>
      <c r="P73" s="29">
        <f t="shared" ca="1" si="68"/>
        <v>0</v>
      </c>
      <c r="Q73" s="189" t="str">
        <f t="shared" ref="Q73:Q75" ca="1" si="69">_xlfn.FORMULATEXT(L73)</f>
        <v>=SUM(L71,L60,L54)</v>
      </c>
    </row>
    <row r="74" spans="2:19">
      <c r="D74" t="str">
        <f>Hist!C76</f>
        <v>Beginning Cash</v>
      </c>
      <c r="E74" s="49" t="s">
        <v>212</v>
      </c>
      <c r="I74" s="50">
        <f>Hist!G76</f>
        <v>542.4</v>
      </c>
      <c r="J74" s="50">
        <f>Hist!H76</f>
        <v>74.855999999999995</v>
      </c>
      <c r="K74" s="50">
        <f>Hist!I76</f>
        <v>830.91200000000003</v>
      </c>
      <c r="L74">
        <f>K75</f>
        <v>633.36800000000005</v>
      </c>
      <c r="M74">
        <f t="shared" ref="M74:P74" ca="1" si="70">L75</f>
        <v>0</v>
      </c>
      <c r="N74">
        <f t="shared" ca="1" si="70"/>
        <v>0</v>
      </c>
      <c r="O74">
        <f t="shared" ca="1" si="70"/>
        <v>0</v>
      </c>
      <c r="P74">
        <f t="shared" ca="1" si="70"/>
        <v>0</v>
      </c>
      <c r="Q74" s="189" t="str">
        <f t="shared" ca="1" si="69"/>
        <v>=K75</v>
      </c>
    </row>
    <row r="75" spans="2:19">
      <c r="D75" t="str">
        <f>Hist!C77</f>
        <v>Ending Cash</v>
      </c>
      <c r="E75" s="49" t="s">
        <v>212</v>
      </c>
      <c r="I75" s="50">
        <f>Hist!G77</f>
        <v>74.855999999999995</v>
      </c>
      <c r="J75" s="50">
        <f>Hist!H77</f>
        <v>830.91200000000003</v>
      </c>
      <c r="K75" s="50">
        <f>Hist!I77</f>
        <v>633.36800000000005</v>
      </c>
      <c r="L75">
        <f ca="1">SUM(L73:L74)</f>
        <v>0</v>
      </c>
      <c r="M75">
        <f t="shared" ref="M75:P75" ca="1" si="71">SUM(M73:M74)</f>
        <v>0</v>
      </c>
      <c r="N75">
        <f t="shared" ca="1" si="71"/>
        <v>0</v>
      </c>
      <c r="O75">
        <f t="shared" ca="1" si="71"/>
        <v>0</v>
      </c>
      <c r="P75">
        <f t="shared" ca="1" si="71"/>
        <v>0</v>
      </c>
      <c r="Q75" s="189" t="str">
        <f t="shared" ca="1" si="69"/>
        <v>=SUM(L73:L74)</v>
      </c>
      <c r="S75" s="110"/>
    </row>
    <row r="76" spans="2:19">
      <c r="E76" s="68"/>
      <c r="Q76" s="189"/>
    </row>
    <row r="77" spans="2:19">
      <c r="E77" s="68"/>
      <c r="Q77" s="189"/>
    </row>
    <row r="78" spans="2:19">
      <c r="E78" s="68"/>
      <c r="Q78" s="189"/>
    </row>
    <row r="79" spans="2:19" ht="13.25" thickBot="1">
      <c r="B79" s="36" t="s">
        <v>23</v>
      </c>
      <c r="C79" s="36"/>
      <c r="D79" s="36"/>
      <c r="E79" s="82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189"/>
    </row>
    <row r="80" spans="2:19">
      <c r="B80" s="58"/>
      <c r="C80" s="58"/>
      <c r="D80" s="58"/>
      <c r="E80" s="83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189"/>
    </row>
    <row r="81" spans="3:17">
      <c r="C81" t="str">
        <f>Hist!B87</f>
        <v>ASSETS</v>
      </c>
      <c r="E81" s="68"/>
      <c r="Q81" s="189"/>
    </row>
    <row r="82" spans="3:17">
      <c r="D82" t="str">
        <f>Hist!C88</f>
        <v>Cash and Equivalents</v>
      </c>
      <c r="E82" s="49" t="s">
        <v>212</v>
      </c>
      <c r="I82" s="50">
        <f>Hist!G88</f>
        <v>74.855999999999995</v>
      </c>
      <c r="J82" s="50">
        <f>Hist!H88</f>
        <v>830.91200000000003</v>
      </c>
      <c r="K82" s="50">
        <f>Hist!I88</f>
        <v>633.36800000000005</v>
      </c>
      <c r="L82">
        <f ca="1">L75</f>
        <v>0</v>
      </c>
      <c r="M82">
        <f t="shared" ref="M82:P82" ca="1" si="72">M75</f>
        <v>0</v>
      </c>
      <c r="N82">
        <f t="shared" ca="1" si="72"/>
        <v>0</v>
      </c>
      <c r="O82">
        <f t="shared" ca="1" si="72"/>
        <v>0</v>
      </c>
      <c r="P82">
        <f t="shared" ca="1" si="72"/>
        <v>0</v>
      </c>
      <c r="Q82" s="189" t="str">
        <f t="shared" ref="Q82:Q86" ca="1" si="73">_xlfn.FORMULATEXT(L82)</f>
        <v>=L75</v>
      </c>
    </row>
    <row r="83" spans="3:17">
      <c r="D83" t="str">
        <f>Hist!C89</f>
        <v>Accounts Receivable</v>
      </c>
      <c r="E83" s="49" t="s">
        <v>212</v>
      </c>
      <c r="I83" s="50">
        <f>Hist!G89</f>
        <v>266.60000000000002</v>
      </c>
      <c r="J83" s="50">
        <f>Hist!H89</f>
        <v>306.8</v>
      </c>
      <c r="K83" s="50">
        <f>Hist!I89</f>
        <v>308.39999999999998</v>
      </c>
      <c r="L83">
        <f>L243</f>
        <v>317.89175268493148</v>
      </c>
      <c r="M83">
        <f t="shared" ref="M83:P83" si="74">M243</f>
        <v>326.54477403930412</v>
      </c>
      <c r="N83">
        <f t="shared" si="74"/>
        <v>335.4496435428116</v>
      </c>
      <c r="O83">
        <f t="shared" si="74"/>
        <v>332.11516694729914</v>
      </c>
      <c r="P83">
        <f t="shared" si="74"/>
        <v>336.35532222942089</v>
      </c>
      <c r="Q83" s="189" t="str">
        <f t="shared" ca="1" si="73"/>
        <v>=L243</v>
      </c>
    </row>
    <row r="84" spans="3:17">
      <c r="D84" t="str">
        <f>Hist!C90</f>
        <v>Inventory</v>
      </c>
      <c r="E84" s="49" t="s">
        <v>212</v>
      </c>
      <c r="I84" s="50">
        <f>Hist!G90</f>
        <v>532.70000000000005</v>
      </c>
      <c r="J84" s="50">
        <f>Hist!H90</f>
        <v>630.20000000000005</v>
      </c>
      <c r="K84" s="50">
        <f>Hist!I90</f>
        <v>685.9</v>
      </c>
      <c r="L84">
        <f>L244</f>
        <v>711.82018849315079</v>
      </c>
      <c r="M84">
        <f t="shared" ref="M84:P85" si="75">M244</f>
        <v>736.89538265556166</v>
      </c>
      <c r="N84">
        <f t="shared" si="75"/>
        <v>762.9110944213304</v>
      </c>
      <c r="O84">
        <f t="shared" si="75"/>
        <v>779.57763489164745</v>
      </c>
      <c r="P84">
        <f t="shared" si="75"/>
        <v>805.16486794918694</v>
      </c>
      <c r="Q84" s="189" t="str">
        <f t="shared" ca="1" si="73"/>
        <v>=L244</v>
      </c>
    </row>
    <row r="85" spans="3:17">
      <c r="D85" t="str">
        <f>Hist!C91</f>
        <v>Other</v>
      </c>
      <c r="E85" s="49" t="s">
        <v>212</v>
      </c>
      <c r="I85" s="50">
        <f>Hist!G91</f>
        <v>51.4</v>
      </c>
      <c r="J85" s="50">
        <f>Hist!H91</f>
        <v>61</v>
      </c>
      <c r="K85" s="50">
        <f>Hist!I91</f>
        <v>65.3</v>
      </c>
      <c r="L85">
        <f>L245</f>
        <v>68.018373567123305</v>
      </c>
      <c r="M85">
        <f t="shared" si="75"/>
        <v>70.414447675975893</v>
      </c>
      <c r="N85">
        <f t="shared" si="75"/>
        <v>72.900393466927127</v>
      </c>
      <c r="O85">
        <f t="shared" si="75"/>
        <v>74.492974000757428</v>
      </c>
      <c r="P85">
        <f t="shared" si="75"/>
        <v>76.937976270700091</v>
      </c>
      <c r="Q85" s="189" t="str">
        <f t="shared" ca="1" si="73"/>
        <v>=L245</v>
      </c>
    </row>
    <row r="86" spans="3:17" s="29" customFormat="1">
      <c r="D86" s="29" t="str">
        <f>Hist!C92</f>
        <v>Total Current Assets</v>
      </c>
      <c r="E86" s="49" t="s">
        <v>212</v>
      </c>
      <c r="I86" s="59">
        <f t="shared" ref="I86:P86" si="76">SUM(I82:I85)</f>
        <v>925.55600000000004</v>
      </c>
      <c r="J86" s="59">
        <f t="shared" si="76"/>
        <v>1828.912</v>
      </c>
      <c r="K86" s="59">
        <f t="shared" si="76"/>
        <v>1692.9680000000001</v>
      </c>
      <c r="L86" s="29">
        <f t="shared" ca="1" si="76"/>
        <v>1097.7303147452055</v>
      </c>
      <c r="M86" s="29">
        <f t="shared" ca="1" si="76"/>
        <v>1133.8546043708418</v>
      </c>
      <c r="N86" s="29">
        <f t="shared" ca="1" si="76"/>
        <v>1171.2611314310693</v>
      </c>
      <c r="O86" s="29">
        <f t="shared" ca="1" si="76"/>
        <v>1186.1857758397041</v>
      </c>
      <c r="P86" s="29">
        <f t="shared" ca="1" si="76"/>
        <v>1218.458166449308</v>
      </c>
      <c r="Q86" s="189" t="str">
        <f t="shared" ca="1" si="73"/>
        <v>=SUM(L82:L85)</v>
      </c>
    </row>
    <row r="87" spans="3:17">
      <c r="E87" s="68"/>
      <c r="Q87" s="189"/>
    </row>
    <row r="88" spans="3:17">
      <c r="D88" t="str">
        <f>Hist!C94</f>
        <v>Net PP&amp;E</v>
      </c>
      <c r="E88" s="49" t="s">
        <v>212</v>
      </c>
      <c r="I88" s="50">
        <f>Hist!G94</f>
        <v>515.29999999999995</v>
      </c>
      <c r="J88" s="50">
        <f>Hist!H94</f>
        <v>586.9</v>
      </c>
      <c r="K88" s="50">
        <f>Hist!I94</f>
        <v>636.6</v>
      </c>
      <c r="L88">
        <f t="shared" ref="L88:P88" si="77">L206</f>
        <v>783.36666666666667</v>
      </c>
      <c r="M88">
        <f t="shared" si="77"/>
        <v>939.30000000000018</v>
      </c>
      <c r="N88">
        <f t="shared" si="77"/>
        <v>1102.7333333333336</v>
      </c>
      <c r="O88">
        <f t="shared" si="77"/>
        <v>1247.8333333333335</v>
      </c>
      <c r="P88">
        <f t="shared" si="77"/>
        <v>1374.6000000000001</v>
      </c>
      <c r="Q88" s="189" t="str">
        <f t="shared" ref="Q88:Q93" ca="1" si="78">_xlfn.FORMULATEXT(L88)</f>
        <v>=L206</v>
      </c>
    </row>
    <row r="89" spans="3:17">
      <c r="D89" t="str">
        <f>Hist!C95</f>
        <v>Goodwill</v>
      </c>
      <c r="E89" s="49" t="s">
        <v>212</v>
      </c>
      <c r="I89" s="50">
        <f>Hist!G95</f>
        <v>116</v>
      </c>
      <c r="J89" s="50">
        <f>Hist!H95</f>
        <v>115.9</v>
      </c>
      <c r="K89" s="50">
        <f>Hist!I95</f>
        <v>116</v>
      </c>
      <c r="L89">
        <f>K89+Inp!L140</f>
        <v>116</v>
      </c>
      <c r="M89">
        <f>L89+Inp!M140</f>
        <v>116</v>
      </c>
      <c r="N89">
        <f>M89+Inp!N140</f>
        <v>116</v>
      </c>
      <c r="O89">
        <f>N89+Inp!O140</f>
        <v>116</v>
      </c>
      <c r="P89">
        <f>O89+Inp!P140</f>
        <v>116</v>
      </c>
      <c r="Q89" s="189" t="str">
        <f t="shared" ca="1" si="78"/>
        <v>=K89+Inp!L140</v>
      </c>
    </row>
    <row r="90" spans="3:17">
      <c r="D90" t="str">
        <f>Hist!C96</f>
        <v>Intangibles</v>
      </c>
      <c r="E90" s="49" t="s">
        <v>212</v>
      </c>
      <c r="I90" s="50">
        <f>Hist!G96</f>
        <v>219.89999999999998</v>
      </c>
      <c r="J90" s="50">
        <f>Hist!H96</f>
        <v>220.6</v>
      </c>
      <c r="K90" s="50">
        <f>Hist!I96</f>
        <v>207.89999999999998</v>
      </c>
      <c r="L90">
        <f t="shared" ref="L90:P90" si="79">L212</f>
        <v>204.32</v>
      </c>
      <c r="M90">
        <f t="shared" si="79"/>
        <v>196.74</v>
      </c>
      <c r="N90">
        <f t="shared" si="79"/>
        <v>185.16000000000003</v>
      </c>
      <c r="O90">
        <f t="shared" si="79"/>
        <v>169.58000000000004</v>
      </c>
      <c r="P90">
        <f t="shared" si="79"/>
        <v>150.00000000000006</v>
      </c>
      <c r="Q90" s="189" t="str">
        <f t="shared" ca="1" si="78"/>
        <v>=L212</v>
      </c>
    </row>
    <row r="91" spans="3:17">
      <c r="D91" t="str">
        <f>Hist!C97</f>
        <v>Deferred income taxes</v>
      </c>
      <c r="E91" s="49" t="s">
        <v>212</v>
      </c>
      <c r="I91" s="50">
        <f>Hist!G97</f>
        <v>14</v>
      </c>
      <c r="J91" s="50">
        <f>Hist!H97</f>
        <v>17.7</v>
      </c>
      <c r="K91" s="50">
        <f>Hist!I97</f>
        <v>28.8</v>
      </c>
      <c r="L91">
        <f>K91+L229</f>
        <v>34.799999999999997</v>
      </c>
      <c r="M91">
        <f>L91+M229</f>
        <v>40.799999999999997</v>
      </c>
      <c r="N91">
        <f>M91+N229</f>
        <v>46.8</v>
      </c>
      <c r="O91">
        <f>N91+O229</f>
        <v>52.8</v>
      </c>
      <c r="P91">
        <f>O91+P229</f>
        <v>58.8</v>
      </c>
      <c r="Q91" s="189" t="str">
        <f t="shared" ref="Q91" ca="1" si="80">_xlfn.FORMULATEXT(L91)</f>
        <v>=K91+L229</v>
      </c>
    </row>
    <row r="92" spans="3:17">
      <c r="D92" t="str">
        <f>Hist!C98</f>
        <v>Other</v>
      </c>
      <c r="E92" s="49" t="s">
        <v>212</v>
      </c>
      <c r="I92" s="50">
        <f>Hist!G98</f>
        <v>145.9</v>
      </c>
      <c r="J92" s="50">
        <f>Hist!H98</f>
        <v>159.1</v>
      </c>
      <c r="K92" s="50">
        <f>Hist!I98</f>
        <v>132.5</v>
      </c>
      <c r="L92">
        <f>K92+Inp!L143</f>
        <v>132.5</v>
      </c>
      <c r="M92">
        <f>L92+Inp!M143</f>
        <v>132.5</v>
      </c>
      <c r="N92">
        <f>M92+Inp!N143</f>
        <v>132.5</v>
      </c>
      <c r="O92">
        <f>N92+Inp!O143</f>
        <v>132.5</v>
      </c>
      <c r="P92">
        <f>O92+Inp!P143</f>
        <v>132.5</v>
      </c>
      <c r="Q92" s="189" t="str">
        <f t="shared" ca="1" si="78"/>
        <v>=K92+Inp!L143</v>
      </c>
    </row>
    <row r="93" spans="3:17" s="29" customFormat="1">
      <c r="D93" s="29" t="str">
        <f>Hist!C99</f>
        <v>Total Long Term Assets</v>
      </c>
      <c r="E93" s="80" t="s">
        <v>212</v>
      </c>
      <c r="I93" s="59">
        <f>SUM(I88:I92)</f>
        <v>1011.0999999999999</v>
      </c>
      <c r="J93" s="59">
        <f t="shared" ref="J93:P93" si="81">SUM(J88:J92)</f>
        <v>1100.2</v>
      </c>
      <c r="K93" s="59">
        <f t="shared" si="81"/>
        <v>1121.8</v>
      </c>
      <c r="L93" s="29">
        <f t="shared" si="81"/>
        <v>1270.9866666666667</v>
      </c>
      <c r="M93" s="29">
        <f t="shared" si="81"/>
        <v>1425.3400000000001</v>
      </c>
      <c r="N93" s="29">
        <f t="shared" si="81"/>
        <v>1583.1933333333336</v>
      </c>
      <c r="O93" s="29">
        <f t="shared" si="81"/>
        <v>1718.7133333333334</v>
      </c>
      <c r="P93" s="29">
        <f t="shared" si="81"/>
        <v>1831.9</v>
      </c>
      <c r="Q93" s="189" t="str">
        <f t="shared" ca="1" si="78"/>
        <v>=SUM(L88:L92)</v>
      </c>
    </row>
    <row r="94" spans="3:17">
      <c r="E94" s="68"/>
      <c r="Q94" s="189"/>
    </row>
    <row r="95" spans="3:17" s="29" customFormat="1">
      <c r="D95" s="29" t="str">
        <f>Hist!C101</f>
        <v>Total Assets</v>
      </c>
      <c r="E95" s="49" t="s">
        <v>212</v>
      </c>
      <c r="I95" s="59">
        <f>I86+I93</f>
        <v>1936.6559999999999</v>
      </c>
      <c r="J95" s="59">
        <f t="shared" ref="J95:P95" si="82">J86+J93</f>
        <v>2929.1120000000001</v>
      </c>
      <c r="K95" s="59">
        <f t="shared" si="82"/>
        <v>2814.768</v>
      </c>
      <c r="L95" s="29">
        <f t="shared" ca="1" si="82"/>
        <v>2368.7169814118724</v>
      </c>
      <c r="M95" s="29">
        <f t="shared" ca="1" si="82"/>
        <v>2559.1946043708422</v>
      </c>
      <c r="N95" s="29">
        <f t="shared" ca="1" si="82"/>
        <v>2754.4544647644029</v>
      </c>
      <c r="O95" s="29">
        <f t="shared" ca="1" si="82"/>
        <v>2904.8991091730377</v>
      </c>
      <c r="P95" s="29">
        <f t="shared" ca="1" si="82"/>
        <v>3050.3581664493081</v>
      </c>
      <c r="Q95" s="189" t="str">
        <f ca="1">_xlfn.FORMULATEXT(L95)</f>
        <v>=L86+L93</v>
      </c>
    </row>
    <row r="96" spans="3:17">
      <c r="E96" s="68"/>
      <c r="Q96" s="189"/>
    </row>
    <row r="97" spans="3:17">
      <c r="E97" s="68"/>
      <c r="Q97" s="189"/>
    </row>
    <row r="98" spans="3:17">
      <c r="C98" t="str">
        <f>Hist!B104</f>
        <v>LIABILITIES AND EQUITY</v>
      </c>
      <c r="E98" s="68"/>
      <c r="Q98" s="189"/>
    </row>
    <row r="99" spans="3:17">
      <c r="D99" t="str">
        <f>Hist!C105</f>
        <v>Bank Debt - Revolver</v>
      </c>
      <c r="E99" s="49" t="s">
        <v>212</v>
      </c>
      <c r="I99" s="50">
        <f>Hist!G105</f>
        <v>10.5</v>
      </c>
      <c r="J99" s="50">
        <f>Hist!H105</f>
        <v>600</v>
      </c>
      <c r="K99" s="50">
        <f>Hist!I105</f>
        <v>400</v>
      </c>
      <c r="L99">
        <f ca="1">L333</f>
        <v>44.058469648080006</v>
      </c>
      <c r="M99">
        <f t="shared" ref="M99:P99" ca="1" si="83">M333</f>
        <v>181.7930817921939</v>
      </c>
      <c r="N99">
        <f t="shared" ca="1" si="83"/>
        <v>350.87020917233554</v>
      </c>
      <c r="O99">
        <f t="shared" ca="1" si="83"/>
        <v>574.74371243128985</v>
      </c>
      <c r="P99">
        <f t="shared" ca="1" si="83"/>
        <v>853.22604434329185</v>
      </c>
      <c r="Q99" s="189" t="str">
        <f t="shared" ref="Q99:Q102" ca="1" si="84">_xlfn.FORMULATEXT(L99)</f>
        <v>=L333</v>
      </c>
    </row>
    <row r="100" spans="3:17">
      <c r="D100" t="str">
        <f>Hist!C106</f>
        <v>Accounts Payable</v>
      </c>
      <c r="E100" s="49" t="s">
        <v>212</v>
      </c>
      <c r="I100" s="50">
        <f>Hist!G106</f>
        <v>547</v>
      </c>
      <c r="J100" s="50">
        <f>Hist!H106</f>
        <v>678.4</v>
      </c>
      <c r="K100" s="50">
        <f>Hist!I106</f>
        <v>650.29999999999995</v>
      </c>
      <c r="L100">
        <f>L247</f>
        <v>674.64735642739743</v>
      </c>
      <c r="M100">
        <f t="shared" ref="M100:P100" si="85">M247</f>
        <v>698.41306822799345</v>
      </c>
      <c r="N100">
        <f t="shared" si="85"/>
        <v>723.070181712661</v>
      </c>
      <c r="O100">
        <f t="shared" si="85"/>
        <v>738.86635840286135</v>
      </c>
      <c r="P100">
        <f t="shared" si="85"/>
        <v>763.1173692896183</v>
      </c>
      <c r="Q100" s="189" t="str">
        <f t="shared" ca="1" si="84"/>
        <v>=L247</v>
      </c>
    </row>
    <row r="101" spans="3:17">
      <c r="D101" t="str">
        <f>Hist!C107</f>
        <v>Other</v>
      </c>
      <c r="E101" s="49" t="s">
        <v>212</v>
      </c>
      <c r="I101" s="50">
        <f>Hist!G107</f>
        <v>206.6</v>
      </c>
      <c r="J101" s="50">
        <f>Hist!H107</f>
        <v>248.50000000000006</v>
      </c>
      <c r="K101" s="50">
        <f>Hist!I107</f>
        <v>266.2</v>
      </c>
      <c r="L101">
        <f>L248</f>
        <v>276.02805087123289</v>
      </c>
      <c r="M101">
        <f t="shared" ref="M101:P101" si="86">M248</f>
        <v>285.7516539408789</v>
      </c>
      <c r="N101">
        <f t="shared" si="86"/>
        <v>295.83996883671591</v>
      </c>
      <c r="O101">
        <f t="shared" si="86"/>
        <v>302.3028828635388</v>
      </c>
      <c r="P101">
        <f t="shared" si="86"/>
        <v>312.22504323807357</v>
      </c>
      <c r="Q101" s="189" t="str">
        <f t="shared" ca="1" si="84"/>
        <v>=L248</v>
      </c>
    </row>
    <row r="102" spans="3:17" s="29" customFormat="1">
      <c r="D102" s="29" t="str">
        <f>Hist!C108</f>
        <v>Total Current Liabilities</v>
      </c>
      <c r="E102" s="49" t="s">
        <v>212</v>
      </c>
      <c r="I102" s="59">
        <f t="shared" ref="I102:K102" si="87">SUM(I99:I101)</f>
        <v>764.1</v>
      </c>
      <c r="J102" s="59">
        <f t="shared" si="87"/>
        <v>1526.9</v>
      </c>
      <c r="K102" s="59">
        <f t="shared" si="87"/>
        <v>1316.5</v>
      </c>
      <c r="L102" s="29">
        <f t="shared" ref="L102" ca="1" si="88">SUM(L99:L101)</f>
        <v>994.73387694671032</v>
      </c>
      <c r="M102" s="29">
        <f t="shared" ref="M102" ca="1" si="89">SUM(M99:M101)</f>
        <v>1165.9578039610662</v>
      </c>
      <c r="N102" s="29">
        <f t="shared" ref="N102" ca="1" si="90">SUM(N99:N101)</f>
        <v>1369.7803597217126</v>
      </c>
      <c r="O102" s="29">
        <f t="shared" ref="O102" ca="1" si="91">SUM(O99:O101)</f>
        <v>1615.91295369769</v>
      </c>
      <c r="P102" s="29">
        <f t="shared" ref="P102" ca="1" si="92">SUM(P99:P101)</f>
        <v>1928.5684568709837</v>
      </c>
      <c r="Q102" s="189" t="str">
        <f t="shared" ca="1" si="84"/>
        <v>=SUM(L99:L101)</v>
      </c>
    </row>
    <row r="103" spans="3:17">
      <c r="E103" s="68"/>
      <c r="Q103" s="189"/>
    </row>
    <row r="104" spans="3:17">
      <c r="D104" t="str">
        <f>Hist!C110</f>
        <v>Variable Rate Long Term Debt</v>
      </c>
      <c r="E104" s="49" t="s">
        <v>212</v>
      </c>
      <c r="I104" s="50">
        <f>Hist!G110</f>
        <v>0</v>
      </c>
      <c r="J104" s="50">
        <f>Hist!H110</f>
        <v>0</v>
      </c>
      <c r="K104" s="50">
        <f>Hist!I110</f>
        <v>250</v>
      </c>
      <c r="L104">
        <f>L309</f>
        <v>225</v>
      </c>
      <c r="M104">
        <f t="shared" ref="M104:P104" si="93">M309</f>
        <v>200</v>
      </c>
      <c r="N104">
        <f t="shared" si="93"/>
        <v>175</v>
      </c>
      <c r="O104">
        <f t="shared" si="93"/>
        <v>150</v>
      </c>
      <c r="P104">
        <f t="shared" si="93"/>
        <v>125</v>
      </c>
      <c r="Q104" s="189" t="str">
        <f t="shared" ref="Q104:Q107" ca="1" si="94">_xlfn.FORMULATEXT(L104)</f>
        <v>=L309</v>
      </c>
    </row>
    <row r="105" spans="3:17">
      <c r="D105" t="str">
        <f>Hist!C111</f>
        <v>Fixed Rate Long Term Debt</v>
      </c>
      <c r="E105" s="49" t="s">
        <v>212</v>
      </c>
      <c r="I105" s="50">
        <f>Hist!G111</f>
        <v>889.9</v>
      </c>
      <c r="J105" s="50">
        <f>Hist!H111</f>
        <v>1035.5</v>
      </c>
      <c r="K105" s="50">
        <f>Hist!I111</f>
        <v>896.59999999999991</v>
      </c>
      <c r="L105">
        <f>L302</f>
        <v>746.59999999999991</v>
      </c>
      <c r="M105">
        <f>M302</f>
        <v>596.59999999999991</v>
      </c>
      <c r="N105">
        <f>N302</f>
        <v>446.59999999999991</v>
      </c>
      <c r="O105">
        <f>O302</f>
        <v>296.59999999999991</v>
      </c>
      <c r="P105">
        <f>P302</f>
        <v>146.59999999999991</v>
      </c>
      <c r="Q105" s="189" t="str">
        <f t="shared" ca="1" si="94"/>
        <v>=L302</v>
      </c>
    </row>
    <row r="106" spans="3:17">
      <c r="D106" t="str">
        <f>Hist!C112</f>
        <v>Other</v>
      </c>
      <c r="E106" s="49" t="s">
        <v>212</v>
      </c>
      <c r="I106" s="50">
        <f>Hist!G112</f>
        <v>324</v>
      </c>
      <c r="J106" s="50">
        <f>Hist!H112</f>
        <v>394.70000000000005</v>
      </c>
      <c r="K106" s="50">
        <f>Hist!I112</f>
        <v>367.40000000000003</v>
      </c>
      <c r="L106">
        <f>K106+Inp!L144</f>
        <v>367.40000000000003</v>
      </c>
      <c r="M106">
        <f>L106+Inp!M144</f>
        <v>367.40000000000003</v>
      </c>
      <c r="N106">
        <f>M106+Inp!N144</f>
        <v>367.40000000000003</v>
      </c>
      <c r="O106">
        <f>N106+Inp!O144</f>
        <v>367.40000000000003</v>
      </c>
      <c r="P106">
        <f>O106+Inp!P144</f>
        <v>367.40000000000003</v>
      </c>
      <c r="Q106" s="189" t="str">
        <f t="shared" ca="1" si="94"/>
        <v>=K106+Inp!L144</v>
      </c>
    </row>
    <row r="107" spans="3:17" s="29" customFormat="1">
      <c r="D107" s="29" t="str">
        <f>Hist!C113</f>
        <v>Total Long Term Liabilities</v>
      </c>
      <c r="E107" s="49" t="s">
        <v>212</v>
      </c>
      <c r="I107" s="59">
        <f t="shared" ref="I107:P107" si="95">SUM(I104:I106)</f>
        <v>1213.9000000000001</v>
      </c>
      <c r="J107" s="59">
        <f t="shared" si="95"/>
        <v>1430.2</v>
      </c>
      <c r="K107" s="59">
        <f t="shared" si="95"/>
        <v>1514</v>
      </c>
      <c r="L107" s="29">
        <f t="shared" si="95"/>
        <v>1339</v>
      </c>
      <c r="M107" s="29">
        <f t="shared" si="95"/>
        <v>1164</v>
      </c>
      <c r="N107" s="29">
        <f t="shared" si="95"/>
        <v>989</v>
      </c>
      <c r="O107" s="29">
        <f t="shared" si="95"/>
        <v>814</v>
      </c>
      <c r="P107" s="29">
        <f t="shared" si="95"/>
        <v>639</v>
      </c>
      <c r="Q107" s="189" t="str">
        <f t="shared" ca="1" si="94"/>
        <v>=SUM(L104:L106)</v>
      </c>
    </row>
    <row r="108" spans="3:17">
      <c r="E108" s="68"/>
      <c r="Q108" s="189"/>
    </row>
    <row r="109" spans="3:17" s="29" customFormat="1">
      <c r="D109" s="29" t="str">
        <f>Hist!C115</f>
        <v>Total Liabilities</v>
      </c>
      <c r="E109" s="49" t="s">
        <v>212</v>
      </c>
      <c r="I109" s="59">
        <f t="shared" ref="I109:P109" si="96">I102+I107</f>
        <v>1978</v>
      </c>
      <c r="J109" s="59">
        <f t="shared" si="96"/>
        <v>2957.1000000000004</v>
      </c>
      <c r="K109" s="59">
        <f t="shared" si="96"/>
        <v>2830.5</v>
      </c>
      <c r="L109" s="29">
        <f t="shared" ca="1" si="96"/>
        <v>2333.7338769467106</v>
      </c>
      <c r="M109" s="29">
        <f t="shared" ca="1" si="96"/>
        <v>2329.957803961066</v>
      </c>
      <c r="N109" s="29">
        <f t="shared" ca="1" si="96"/>
        <v>2358.7803597217126</v>
      </c>
      <c r="O109" s="29">
        <f t="shared" ca="1" si="96"/>
        <v>2429.9129536976898</v>
      </c>
      <c r="P109" s="29">
        <f t="shared" ca="1" si="96"/>
        <v>2567.5684568709839</v>
      </c>
      <c r="Q109" s="189" t="str">
        <f ca="1">_xlfn.FORMULATEXT(L109)</f>
        <v>=L102+L107</v>
      </c>
    </row>
    <row r="110" spans="3:17">
      <c r="E110" s="68"/>
      <c r="Q110" s="189"/>
    </row>
    <row r="111" spans="3:17">
      <c r="D111" t="str">
        <f>Hist!C117</f>
        <v>Preferred Shares</v>
      </c>
      <c r="E111" s="49" t="s">
        <v>212</v>
      </c>
      <c r="I111" s="50">
        <f>Hist!G117</f>
        <v>6.4</v>
      </c>
      <c r="J111" s="50">
        <f>Hist!H117</f>
        <v>6.4</v>
      </c>
      <c r="K111" s="50">
        <f>Hist!I117</f>
        <v>6.4</v>
      </c>
      <c r="L111">
        <f>L274</f>
        <v>6.4</v>
      </c>
      <c r="M111">
        <f t="shared" ref="M111:P111" si="97">M274</f>
        <v>126.4</v>
      </c>
      <c r="N111">
        <f t="shared" si="97"/>
        <v>226.4</v>
      </c>
      <c r="O111">
        <f t="shared" si="97"/>
        <v>326.39999999999998</v>
      </c>
      <c r="P111">
        <f t="shared" si="97"/>
        <v>426.4</v>
      </c>
      <c r="Q111" s="189" t="str">
        <f t="shared" ref="Q111:Q115" ca="1" si="98">_xlfn.FORMULATEXT(L111)</f>
        <v>=L274</v>
      </c>
    </row>
    <row r="112" spans="3:17">
      <c r="D112" t="str">
        <f>Hist!C118</f>
        <v>Common Shares</v>
      </c>
      <c r="E112" s="49" t="s">
        <v>212</v>
      </c>
      <c r="I112" s="50">
        <f>Hist!G118</f>
        <v>365.3</v>
      </c>
      <c r="J112" s="50">
        <f>Hist!H118</f>
        <v>371.9</v>
      </c>
      <c r="K112" s="50">
        <f>Hist!I118</f>
        <v>346.40000000000003</v>
      </c>
      <c r="L112">
        <f>L265</f>
        <v>266.40000000000003</v>
      </c>
      <c r="M112">
        <f t="shared" ref="M112:P112" si="99">M265</f>
        <v>226.40000000000003</v>
      </c>
      <c r="N112">
        <f t="shared" si="99"/>
        <v>206.40000000000003</v>
      </c>
      <c r="O112">
        <f t="shared" si="99"/>
        <v>186.40000000000003</v>
      </c>
      <c r="P112">
        <f t="shared" si="99"/>
        <v>166.40000000000003</v>
      </c>
      <c r="Q112" s="189" t="str">
        <f t="shared" ca="1" si="98"/>
        <v>=L265</v>
      </c>
    </row>
    <row r="113" spans="1:17">
      <c r="D113" t="str">
        <f>Hist!C119</f>
        <v>Retained Earnings</v>
      </c>
      <c r="E113" s="49" t="s">
        <v>212</v>
      </c>
      <c r="I113" s="50">
        <f>Hist!G119</f>
        <v>-429.24399999999997</v>
      </c>
      <c r="J113" s="50">
        <f>Hist!H119</f>
        <v>-419.88799999999998</v>
      </c>
      <c r="K113" s="50">
        <f>Hist!I119</f>
        <v>-395.23199999999997</v>
      </c>
      <c r="L113">
        <f ca="1">L285</f>
        <v>-264.516895534838</v>
      </c>
      <c r="M113">
        <f t="shared" ref="M113:P113" ca="1" si="100">M285</f>
        <v>-150.26319959022436</v>
      </c>
      <c r="N113">
        <f t="shared" ca="1" si="100"/>
        <v>-63.825894957309693</v>
      </c>
      <c r="O113">
        <f t="shared" ca="1" si="100"/>
        <v>-64.513844524652455</v>
      </c>
      <c r="P113">
        <f t="shared" ca="1" si="100"/>
        <v>-136.71029042167564</v>
      </c>
      <c r="Q113" s="189" t="str">
        <f t="shared" ca="1" si="98"/>
        <v>=L285</v>
      </c>
    </row>
    <row r="114" spans="1:17">
      <c r="D114" t="str">
        <f>Hist!C120</f>
        <v>Other</v>
      </c>
      <c r="E114" s="49" t="s">
        <v>212</v>
      </c>
      <c r="I114" s="50">
        <f>Hist!G120</f>
        <v>16.2</v>
      </c>
      <c r="J114" s="50">
        <f>Hist!H120</f>
        <v>13.599999999999998</v>
      </c>
      <c r="K114" s="50">
        <f>Hist!I120</f>
        <v>26.7</v>
      </c>
      <c r="L114">
        <f>K114+Inp!L141</f>
        <v>26.7</v>
      </c>
      <c r="M114">
        <f>L114+Inp!M141</f>
        <v>26.7</v>
      </c>
      <c r="N114">
        <f>M114+Inp!N141</f>
        <v>26.7</v>
      </c>
      <c r="O114">
        <f>N114+Inp!O141</f>
        <v>26.7</v>
      </c>
      <c r="P114">
        <f>O114+Inp!P141</f>
        <v>26.7</v>
      </c>
      <c r="Q114" s="189" t="str">
        <f t="shared" ca="1" si="98"/>
        <v>=K114+Inp!L141</v>
      </c>
    </row>
    <row r="115" spans="1:17" s="29" customFormat="1">
      <c r="D115" s="29" t="str">
        <f>Hist!C121</f>
        <v>Shareholder's Equity</v>
      </c>
      <c r="E115" s="49" t="s">
        <v>212</v>
      </c>
      <c r="I115" s="59">
        <f>SUM(I111:I114)</f>
        <v>-41.34399999999998</v>
      </c>
      <c r="J115" s="59">
        <f t="shared" ref="J115:K115" si="101">SUM(J111:J114)</f>
        <v>-27.988000000000024</v>
      </c>
      <c r="K115" s="59">
        <f t="shared" si="101"/>
        <v>-15.73199999999996</v>
      </c>
      <c r="L115" s="29">
        <f ca="1">SUM(L111:L114)</f>
        <v>34.983104465162015</v>
      </c>
      <c r="M115" s="29">
        <f t="shared" ref="M115:P115" ca="1" si="102">SUM(M111:M114)</f>
        <v>229.2368004097757</v>
      </c>
      <c r="N115" s="29">
        <f t="shared" ca="1" si="102"/>
        <v>395.67410504269037</v>
      </c>
      <c r="O115" s="29">
        <f t="shared" ca="1" si="102"/>
        <v>474.98615547534752</v>
      </c>
      <c r="P115" s="29">
        <f t="shared" ca="1" si="102"/>
        <v>482.78970957832433</v>
      </c>
      <c r="Q115" s="189" t="str">
        <f t="shared" ca="1" si="98"/>
        <v>=SUM(L111:L114)</v>
      </c>
    </row>
    <row r="116" spans="1:17">
      <c r="E116" s="68"/>
      <c r="Q116" s="189"/>
    </row>
    <row r="117" spans="1:17">
      <c r="C117" s="29" t="str">
        <f>Hist!B123</f>
        <v>Total Liabilities and Equity</v>
      </c>
      <c r="E117" s="68"/>
      <c r="I117" s="50">
        <f>I109+I115</f>
        <v>1936.6559999999999</v>
      </c>
      <c r="J117" s="50">
        <f t="shared" ref="J117:P117" si="103">J109+J115</f>
        <v>2929.1120000000005</v>
      </c>
      <c r="K117" s="50">
        <f t="shared" si="103"/>
        <v>2814.768</v>
      </c>
      <c r="L117">
        <f t="shared" ca="1" si="103"/>
        <v>2368.7169814118724</v>
      </c>
      <c r="M117">
        <f t="shared" ca="1" si="103"/>
        <v>2559.1946043708417</v>
      </c>
      <c r="N117">
        <f t="shared" ca="1" si="103"/>
        <v>2754.4544647644029</v>
      </c>
      <c r="O117">
        <f t="shared" ca="1" si="103"/>
        <v>2904.8991091730372</v>
      </c>
      <c r="P117">
        <f t="shared" ca="1" si="103"/>
        <v>3050.3581664493081</v>
      </c>
      <c r="Q117" s="189" t="str">
        <f ca="1">_xlfn.FORMULATEXT(L117)</f>
        <v>=L109+L115</v>
      </c>
    </row>
    <row r="118" spans="1:17">
      <c r="Q118" s="189"/>
    </row>
    <row r="119" spans="1:17">
      <c r="D119" t="s">
        <v>113</v>
      </c>
      <c r="F119">
        <f ca="1">ROUND(SUM(I119:P119),4)</f>
        <v>0</v>
      </c>
      <c r="I119" s="50">
        <f t="shared" ref="I119:P119" si="104">I117-I95</f>
        <v>0</v>
      </c>
      <c r="J119" s="50">
        <f t="shared" si="104"/>
        <v>0</v>
      </c>
      <c r="K119" s="50">
        <f t="shared" si="104"/>
        <v>0</v>
      </c>
      <c r="L119">
        <f t="shared" ca="1" si="104"/>
        <v>0</v>
      </c>
      <c r="M119">
        <f t="shared" ca="1" si="104"/>
        <v>0</v>
      </c>
      <c r="N119">
        <f t="shared" ca="1" si="104"/>
        <v>0</v>
      </c>
      <c r="O119">
        <f t="shared" ca="1" si="104"/>
        <v>0</v>
      </c>
      <c r="P119">
        <f t="shared" ca="1" si="104"/>
        <v>0</v>
      </c>
      <c r="Q119" s="189" t="str">
        <f ca="1">_xlfn.FORMULATEXT(L119)</f>
        <v>=L117-L95</v>
      </c>
    </row>
    <row r="120" spans="1:17">
      <c r="Q120" s="189"/>
    </row>
    <row r="121" spans="1:17">
      <c r="Q121" s="189"/>
    </row>
    <row r="122" spans="1:17" ht="13.25" thickBot="1">
      <c r="A122" s="39" t="s">
        <v>114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189"/>
    </row>
    <row r="123" spans="1:17" ht="13.25" thickTop="1">
      <c r="Q123" s="189"/>
    </row>
    <row r="124" spans="1:17" ht="13.25" thickBot="1">
      <c r="B124" s="36" t="s">
        <v>115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189"/>
    </row>
    <row r="125" spans="1:17">
      <c r="Q125" s="189"/>
    </row>
    <row r="126" spans="1:17">
      <c r="D126" t="s">
        <v>222</v>
      </c>
      <c r="E126" s="49" t="s">
        <v>79</v>
      </c>
      <c r="L126" s="51">
        <f>Inp!L37</f>
        <v>0.01</v>
      </c>
      <c r="M126" s="51">
        <f>Inp!M37</f>
        <v>0.01</v>
      </c>
      <c r="N126" s="51">
        <f>Inp!N37</f>
        <v>0.01</v>
      </c>
      <c r="O126" s="51">
        <f>Inp!O37</f>
        <v>0.01</v>
      </c>
      <c r="P126" s="51">
        <f>Inp!P37</f>
        <v>0.01</v>
      </c>
      <c r="Q126" s="189" t="str">
        <f t="shared" ref="Q126:Q127" ca="1" si="105">_xlfn.FORMULATEXT(L126)</f>
        <v>=Inp!L37</v>
      </c>
    </row>
    <row r="127" spans="1:17">
      <c r="D127" t="s">
        <v>225</v>
      </c>
      <c r="E127" s="49" t="s">
        <v>79</v>
      </c>
      <c r="L127" s="51">
        <f>Inp!L39</f>
        <v>0.01</v>
      </c>
      <c r="M127" s="51">
        <f>Inp!M39</f>
        <v>0.01</v>
      </c>
      <c r="N127" s="51">
        <f>Inp!N39</f>
        <v>0.01</v>
      </c>
      <c r="O127" s="51">
        <f>Inp!O39</f>
        <v>0.01</v>
      </c>
      <c r="P127" s="51">
        <f>Inp!P39</f>
        <v>0.01</v>
      </c>
      <c r="Q127" s="189" t="str">
        <f t="shared" ca="1" si="105"/>
        <v>=Inp!L39</v>
      </c>
    </row>
    <row r="128" spans="1:17">
      <c r="Q128" s="189"/>
    </row>
    <row r="129" spans="3:17">
      <c r="C129" s="38" t="s">
        <v>227</v>
      </c>
      <c r="Q129" s="189"/>
    </row>
    <row r="130" spans="3:17">
      <c r="C130" s="38"/>
      <c r="Q130" s="189"/>
    </row>
    <row r="131" spans="3:17">
      <c r="D131" t="s">
        <v>226</v>
      </c>
      <c r="E131" s="49" t="s">
        <v>117</v>
      </c>
      <c r="K131" s="50">
        <f>Inp!K41</f>
        <v>230747.96171570366</v>
      </c>
      <c r="L131" s="50">
        <f>Inp!L41</f>
        <v>235362.92095001772</v>
      </c>
      <c r="M131" s="50">
        <f>Inp!M41</f>
        <v>240070.17936901809</v>
      </c>
      <c r="N131" s="50">
        <f>Inp!N41</f>
        <v>244871.58295639846</v>
      </c>
      <c r="O131" s="50">
        <f>Inp!O41</f>
        <v>249769.01461552642</v>
      </c>
      <c r="P131" s="50">
        <f>Inp!P41</f>
        <v>254764.39490783695</v>
      </c>
      <c r="Q131" s="189" t="str">
        <f t="shared" ref="Q131:Q135" ca="1" si="106">_xlfn.FORMULATEXT(L131)</f>
        <v>=Inp!L41</v>
      </c>
    </row>
    <row r="132" spans="3:17">
      <c r="D132" t="str">
        <f>Inp!D35</f>
        <v>Volume capacity</v>
      </c>
      <c r="E132" s="49" t="s">
        <v>117</v>
      </c>
      <c r="L132" s="50">
        <f>Inp!L35</f>
        <v>260000</v>
      </c>
      <c r="M132" s="50">
        <f>Inp!M35</f>
        <v>260000</v>
      </c>
      <c r="N132" s="50">
        <f>Inp!N35</f>
        <v>260000</v>
      </c>
      <c r="O132" s="50">
        <f>Inp!O35</f>
        <v>240000</v>
      </c>
      <c r="P132" s="50">
        <f>Inp!P35</f>
        <v>240000</v>
      </c>
      <c r="Q132" s="189" t="str">
        <f t="shared" ca="1" si="106"/>
        <v>=Inp!L35</v>
      </c>
    </row>
    <row r="134" spans="3:17">
      <c r="D134" t="s">
        <v>239</v>
      </c>
      <c r="E134" s="49" t="s">
        <v>117</v>
      </c>
      <c r="L134">
        <f>MIN(L131,L132)</f>
        <v>235362.92095001772</v>
      </c>
      <c r="M134">
        <f t="shared" ref="M134:P134" si="107">MIN(M131,M132)</f>
        <v>240070.17936901809</v>
      </c>
      <c r="N134">
        <f t="shared" si="107"/>
        <v>244871.58295639846</v>
      </c>
      <c r="O134">
        <f t="shared" si="107"/>
        <v>240000</v>
      </c>
      <c r="P134">
        <f t="shared" si="107"/>
        <v>240000</v>
      </c>
      <c r="Q134" s="189" t="str">
        <f t="shared" ca="1" si="106"/>
        <v>=MIN(L131,L132)</v>
      </c>
    </row>
    <row r="135" spans="3:17">
      <c r="D135" t="s">
        <v>176</v>
      </c>
      <c r="E135" s="49" t="s">
        <v>228</v>
      </c>
      <c r="K135" s="50">
        <f>Inp!K33</f>
        <v>14105</v>
      </c>
      <c r="L135">
        <f>K135*(1+L126)</f>
        <v>14246.05</v>
      </c>
      <c r="M135">
        <f>L135*(1+M126)</f>
        <v>14388.510499999999</v>
      </c>
      <c r="N135">
        <f>M135*(1+N126)</f>
        <v>14532.395604999998</v>
      </c>
      <c r="O135">
        <f>N135*(1+O126)</f>
        <v>14677.719561049998</v>
      </c>
      <c r="P135">
        <f>O135*(1+P126)</f>
        <v>14824.496756660499</v>
      </c>
      <c r="Q135" s="189" t="str">
        <f t="shared" ca="1" si="106"/>
        <v>=K135*(1+L126)</v>
      </c>
    </row>
    <row r="136" spans="3:17">
      <c r="E136" s="49"/>
      <c r="Q136" s="189"/>
    </row>
    <row r="137" spans="3:17">
      <c r="C137" s="38" t="s">
        <v>169</v>
      </c>
      <c r="E137" s="49" t="s">
        <v>212</v>
      </c>
      <c r="K137" s="50">
        <f>Inp!K31</f>
        <v>574.5</v>
      </c>
      <c r="L137">
        <f>K137*(1+L127)</f>
        <v>580.245</v>
      </c>
      <c r="M137">
        <f>L137*(1+M127)</f>
        <v>586.04745000000003</v>
      </c>
      <c r="N137">
        <f>M137*(1+N127)</f>
        <v>591.90792450000004</v>
      </c>
      <c r="O137">
        <f>N137*(1+O127)</f>
        <v>597.82700374500007</v>
      </c>
      <c r="P137">
        <f>O137*(1+P127)</f>
        <v>603.80527378245006</v>
      </c>
      <c r="Q137" s="189" t="str">
        <f ca="1">_xlfn.FORMULATEXT(L137)</f>
        <v>=K137*(1+L127)</v>
      </c>
    </row>
    <row r="138" spans="3:17">
      <c r="E138" s="49"/>
      <c r="Q138" s="189"/>
    </row>
    <row r="139" spans="3:17">
      <c r="C139" s="38" t="s">
        <v>116</v>
      </c>
      <c r="E139" s="49"/>
      <c r="Q139" s="189"/>
    </row>
    <row r="140" spans="3:17">
      <c r="E140" s="49"/>
      <c r="Q140" s="189"/>
    </row>
    <row r="141" spans="3:17">
      <c r="D141" s="60" t="s">
        <v>170</v>
      </c>
      <c r="E141" s="69" t="s">
        <v>212</v>
      </c>
      <c r="F141" s="61"/>
      <c r="G141" s="61"/>
      <c r="H141" s="61"/>
      <c r="I141" s="61"/>
      <c r="J141" s="61"/>
      <c r="K141" s="61">
        <f t="shared" ref="K141" si="108">K135*K131/million</f>
        <v>3254.7</v>
      </c>
      <c r="L141" s="61">
        <f>L135*L134/million</f>
        <v>3352.9919399999999</v>
      </c>
      <c r="M141" s="61">
        <f>M135*M134/million</f>
        <v>3454.2522965879998</v>
      </c>
      <c r="N141" s="61">
        <f>N135*N134/million</f>
        <v>3558.5707159449571</v>
      </c>
      <c r="O141" s="61">
        <f>O135*O134/million</f>
        <v>3522.6526946519994</v>
      </c>
      <c r="P141" s="62">
        <f>P135*P134/million</f>
        <v>3557.87922159852</v>
      </c>
      <c r="Q141" s="189" t="str">
        <f t="shared" ref="Q141:Q143" ca="1" si="109">_xlfn.FORMULATEXT(L141)</f>
        <v>=L135*L134/million</v>
      </c>
    </row>
    <row r="142" spans="3:17">
      <c r="D142" s="63" t="s">
        <v>169</v>
      </c>
      <c r="E142" s="70" t="s">
        <v>212</v>
      </c>
      <c r="F142" s="64"/>
      <c r="G142" s="64"/>
      <c r="H142" s="64"/>
      <c r="I142" s="64"/>
      <c r="J142" s="64"/>
      <c r="K142" s="64">
        <f>K137</f>
        <v>574.5</v>
      </c>
      <c r="L142" s="64">
        <f t="shared" ref="L142:P142" si="110">L137</f>
        <v>580.245</v>
      </c>
      <c r="M142" s="64">
        <f t="shared" si="110"/>
        <v>586.04745000000003</v>
      </c>
      <c r="N142" s="64">
        <f t="shared" si="110"/>
        <v>591.90792450000004</v>
      </c>
      <c r="O142" s="64">
        <f t="shared" si="110"/>
        <v>597.82700374500007</v>
      </c>
      <c r="P142" s="65">
        <f t="shared" si="110"/>
        <v>603.80527378245006</v>
      </c>
      <c r="Q142" s="189" t="str">
        <f t="shared" ca="1" si="109"/>
        <v>=L137</v>
      </c>
    </row>
    <row r="143" spans="3:17">
      <c r="D143" s="105" t="s">
        <v>46</v>
      </c>
      <c r="E143" s="106" t="s">
        <v>212</v>
      </c>
      <c r="F143" s="107"/>
      <c r="G143" s="107"/>
      <c r="H143" s="107"/>
      <c r="I143" s="107"/>
      <c r="J143" s="107"/>
      <c r="K143" s="107">
        <f>SUM(K141:K142)</f>
        <v>3829.2</v>
      </c>
      <c r="L143" s="107">
        <f t="shared" ref="L143:P143" si="111">SUM(L141:L142)</f>
        <v>3933.2369399999998</v>
      </c>
      <c r="M143" s="107">
        <f t="shared" si="111"/>
        <v>4040.2997465879998</v>
      </c>
      <c r="N143" s="107">
        <f t="shared" si="111"/>
        <v>4150.4786404449569</v>
      </c>
      <c r="O143" s="107">
        <f t="shared" si="111"/>
        <v>4120.4796983969991</v>
      </c>
      <c r="P143" s="108">
        <f t="shared" si="111"/>
        <v>4161.6844953809705</v>
      </c>
      <c r="Q143" s="189" t="str">
        <f t="shared" ca="1" si="109"/>
        <v>=SUM(L141:L142)</v>
      </c>
    </row>
    <row r="144" spans="3:17">
      <c r="Q144" s="189"/>
    </row>
    <row r="145" spans="2:17">
      <c r="Q145" s="189"/>
    </row>
    <row r="146" spans="2:17" ht="13.25" thickBot="1">
      <c r="B146" s="36" t="s">
        <v>118</v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189"/>
    </row>
    <row r="147" spans="2:17">
      <c r="Q147" s="189"/>
    </row>
    <row r="148" spans="2:17">
      <c r="D148" t="s">
        <v>218</v>
      </c>
      <c r="E148" s="49" t="s">
        <v>65</v>
      </c>
      <c r="L148" s="50">
        <f t="shared" ref="L148:P148" si="112">L134</f>
        <v>235362.92095001772</v>
      </c>
      <c r="M148" s="50">
        <f t="shared" si="112"/>
        <v>240070.17936901809</v>
      </c>
      <c r="N148" s="50">
        <f t="shared" si="112"/>
        <v>244871.58295639846</v>
      </c>
      <c r="O148" s="50">
        <f t="shared" si="112"/>
        <v>240000</v>
      </c>
      <c r="P148" s="50">
        <f t="shared" si="112"/>
        <v>240000</v>
      </c>
      <c r="Q148" s="189" t="str">
        <f t="shared" ref="Q148:Q149" ca="1" si="113">_xlfn.FORMULATEXT(L148)</f>
        <v>=L134</v>
      </c>
    </row>
    <row r="149" spans="2:17">
      <c r="D149" t="s">
        <v>105</v>
      </c>
      <c r="E149" s="49" t="s">
        <v>79</v>
      </c>
      <c r="L149" s="51">
        <f>Inp!L53</f>
        <v>0.03</v>
      </c>
      <c r="M149" s="51">
        <f>Inp!M53</f>
        <v>0.03</v>
      </c>
      <c r="N149" s="51">
        <f>Inp!N53</f>
        <v>0.03</v>
      </c>
      <c r="O149" s="51">
        <f>Inp!O53</f>
        <v>0.03</v>
      </c>
      <c r="P149" s="51">
        <f>Inp!P53</f>
        <v>0.03</v>
      </c>
      <c r="Q149" s="189" t="str">
        <f t="shared" ca="1" si="113"/>
        <v>=Inp!L53</v>
      </c>
    </row>
    <row r="150" spans="2:17">
      <c r="E150" s="49"/>
      <c r="Q150" s="189"/>
    </row>
    <row r="151" spans="2:17">
      <c r="B151" s="29" t="s">
        <v>121</v>
      </c>
      <c r="E151" s="49"/>
      <c r="Q151" s="189"/>
    </row>
    <row r="152" spans="2:17">
      <c r="D152" t="s">
        <v>218</v>
      </c>
      <c r="E152" s="49" t="s">
        <v>117</v>
      </c>
      <c r="K152" s="50">
        <f>K131</f>
        <v>230747.96171570366</v>
      </c>
      <c r="L152">
        <f t="shared" ref="L152:P152" si="114">L134</f>
        <v>235362.92095001772</v>
      </c>
      <c r="M152">
        <f t="shared" si="114"/>
        <v>240070.17936901809</v>
      </c>
      <c r="N152">
        <f t="shared" si="114"/>
        <v>244871.58295639846</v>
      </c>
      <c r="O152">
        <f t="shared" si="114"/>
        <v>240000</v>
      </c>
      <c r="P152">
        <f t="shared" si="114"/>
        <v>240000</v>
      </c>
      <c r="Q152" s="189" t="str">
        <f t="shared" ref="Q152:Q154" ca="1" si="115">_xlfn.FORMULATEXT(L152)</f>
        <v>=L134</v>
      </c>
    </row>
    <row r="153" spans="2:17">
      <c r="D153" t="s">
        <v>216</v>
      </c>
      <c r="E153" s="49" t="s">
        <v>213</v>
      </c>
      <c r="K153" s="50">
        <f>Inp!K48</f>
        <v>3021.4784772790117</v>
      </c>
      <c r="L153">
        <f>K153*(1+L149)</f>
        <v>3112.1228315973822</v>
      </c>
      <c r="M153">
        <f t="shared" ref="M153:P153" si="116">L153*(1+M149)</f>
        <v>3205.4865165453039</v>
      </c>
      <c r="N153">
        <f t="shared" si="116"/>
        <v>3301.6511120416631</v>
      </c>
      <c r="O153">
        <f t="shared" si="116"/>
        <v>3400.7006454029129</v>
      </c>
      <c r="P153">
        <f t="shared" si="116"/>
        <v>3502.7216647650002</v>
      </c>
      <c r="Q153" s="189" t="str">
        <f t="shared" ca="1" si="115"/>
        <v>=K153*(1+L149)</v>
      </c>
    </row>
    <row r="154" spans="2:17" s="29" customFormat="1">
      <c r="D154" s="29" t="s">
        <v>179</v>
      </c>
      <c r="E154" s="80" t="s">
        <v>212</v>
      </c>
      <c r="L154" s="29">
        <f>L152*L153/million</f>
        <v>732.47832000000005</v>
      </c>
      <c r="M154" s="29">
        <f>M152*M153/million</f>
        <v>769.54172299200013</v>
      </c>
      <c r="N154" s="29">
        <f>N152*N153/million</f>
        <v>808.48053417539541</v>
      </c>
      <c r="O154" s="29">
        <f>O152*O153/million</f>
        <v>816.16815489669909</v>
      </c>
      <c r="P154" s="29">
        <f>P152*P153/million</f>
        <v>840.65319954360007</v>
      </c>
      <c r="Q154" s="189" t="str">
        <f t="shared" ca="1" si="115"/>
        <v>=L152*L153/million</v>
      </c>
    </row>
    <row r="155" spans="2:17">
      <c r="E155" s="49"/>
      <c r="Q155" s="189"/>
    </row>
    <row r="156" spans="2:17">
      <c r="B156" s="29" t="s">
        <v>120</v>
      </c>
      <c r="E156" s="49"/>
      <c r="Q156" s="189"/>
    </row>
    <row r="157" spans="2:17" s="29" customFormat="1">
      <c r="D157" s="29" t="s">
        <v>122</v>
      </c>
      <c r="E157" s="80" t="s">
        <v>212</v>
      </c>
      <c r="K157" s="59">
        <f>Inp!K49</f>
        <v>2091.6000000000004</v>
      </c>
      <c r="L157" s="29">
        <f>K157*(1+L149)</f>
        <v>2154.3480000000004</v>
      </c>
      <c r="M157" s="29">
        <f t="shared" ref="M157:P157" si="117">L157*(1+M149)</f>
        <v>2218.9784400000003</v>
      </c>
      <c r="N157" s="29">
        <f t="shared" si="117"/>
        <v>2285.5477932000003</v>
      </c>
      <c r="O157" s="29">
        <f t="shared" si="117"/>
        <v>2354.1142269960005</v>
      </c>
      <c r="P157" s="29">
        <f t="shared" si="117"/>
        <v>2424.7376538058807</v>
      </c>
      <c r="Q157" s="189" t="str">
        <f ca="1">_xlfn.FORMULATEXT(L157)</f>
        <v>=K157*(1+L149)</v>
      </c>
    </row>
    <row r="158" spans="2:17">
      <c r="E158" s="49"/>
      <c r="Q158" s="189"/>
    </row>
    <row r="159" spans="2:17">
      <c r="E159" s="49"/>
      <c r="Q159" s="189"/>
    </row>
    <row r="160" spans="2:17">
      <c r="C160" s="71" t="s">
        <v>119</v>
      </c>
      <c r="D160" s="53"/>
      <c r="E160" s="76" t="s">
        <v>212</v>
      </c>
      <c r="F160" s="53"/>
      <c r="G160" s="53"/>
      <c r="H160" s="53"/>
      <c r="I160" s="53"/>
      <c r="J160" s="53"/>
      <c r="K160" s="53"/>
      <c r="L160" s="72">
        <f>L154+L157</f>
        <v>2886.8263200000006</v>
      </c>
      <c r="M160" s="72">
        <f t="shared" ref="M160:P160" si="118">M154+M157</f>
        <v>2988.5201629920002</v>
      </c>
      <c r="N160" s="72">
        <f t="shared" si="118"/>
        <v>3094.0283273753957</v>
      </c>
      <c r="O160" s="72">
        <f t="shared" si="118"/>
        <v>3170.2823818926995</v>
      </c>
      <c r="P160" s="72">
        <f t="shared" si="118"/>
        <v>3265.3908533494805</v>
      </c>
      <c r="Q160" s="189" t="str">
        <f ca="1">_xlfn.FORMULATEXT(L160)</f>
        <v>=L154+L157</v>
      </c>
    </row>
    <row r="161" spans="2:17">
      <c r="E161" s="49"/>
      <c r="Q161" s="189"/>
    </row>
    <row r="162" spans="2:17" s="29" customFormat="1">
      <c r="C162" s="71" t="s">
        <v>81</v>
      </c>
      <c r="D162" s="72"/>
      <c r="E162" s="76" t="s">
        <v>212</v>
      </c>
      <c r="F162" s="72"/>
      <c r="G162" s="72"/>
      <c r="H162" s="72"/>
      <c r="I162" s="72"/>
      <c r="J162" s="72"/>
      <c r="K162" s="72"/>
      <c r="L162" s="72">
        <f>Inp!L51</f>
        <v>615</v>
      </c>
      <c r="M162" s="72">
        <f>L162*(1+M149)</f>
        <v>633.45000000000005</v>
      </c>
      <c r="N162" s="72">
        <f>M162*(1+N149)</f>
        <v>652.45350000000008</v>
      </c>
      <c r="O162" s="72">
        <f>N162*(1+O149)</f>
        <v>672.02710500000012</v>
      </c>
      <c r="P162" s="73">
        <f>O162*(1+P149)</f>
        <v>692.18791815000009</v>
      </c>
      <c r="Q162" s="189" t="str">
        <f ca="1">_xlfn.FORMULATEXT(L162)</f>
        <v>=Inp!L51</v>
      </c>
    </row>
    <row r="163" spans="2:17">
      <c r="Q163" s="189"/>
    </row>
    <row r="164" spans="2:17">
      <c r="Q164" s="189"/>
    </row>
    <row r="165" spans="2:17" ht="13.25" thickBot="1">
      <c r="B165" s="36" t="s">
        <v>245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189"/>
    </row>
    <row r="166" spans="2:17">
      <c r="D166" s="38" t="s">
        <v>249</v>
      </c>
      <c r="Q166" s="189"/>
    </row>
    <row r="167" spans="2:17">
      <c r="D167" t="str">
        <f>Inp!D59</f>
        <v>Additions</v>
      </c>
      <c r="E167" s="49" t="s">
        <v>212</v>
      </c>
      <c r="L167" s="50">
        <f>Inp!L59</f>
        <v>225</v>
      </c>
      <c r="M167" s="50">
        <f>Inp!M59</f>
        <v>250</v>
      </c>
      <c r="N167" s="50">
        <f>Inp!N59</f>
        <v>275</v>
      </c>
      <c r="O167" s="50">
        <f>Inp!O59</f>
        <v>275</v>
      </c>
      <c r="P167" s="50">
        <f>Inp!P59</f>
        <v>275</v>
      </c>
      <c r="Q167" s="189" t="str">
        <f ca="1">_xlfn.FORMULATEXT(L167)</f>
        <v>=Inp!L59</v>
      </c>
    </row>
    <row r="168" spans="2:17">
      <c r="D168" t="s">
        <v>124</v>
      </c>
      <c r="E168" s="49" t="s">
        <v>212</v>
      </c>
      <c r="K168" s="50">
        <f>K88</f>
        <v>636.6</v>
      </c>
      <c r="Q168" s="189"/>
    </row>
    <row r="169" spans="2:17" s="29" customFormat="1">
      <c r="D169" s="29" t="s">
        <v>123</v>
      </c>
      <c r="E169" s="49" t="s">
        <v>212</v>
      </c>
      <c r="L169" s="29">
        <f>$K$168/$F$171</f>
        <v>70.733333333333334</v>
      </c>
      <c r="M169" s="29">
        <f>$K$168/$F$171</f>
        <v>70.733333333333334</v>
      </c>
      <c r="N169" s="29">
        <f>$K$168/$F$171</f>
        <v>70.733333333333334</v>
      </c>
      <c r="O169" s="29">
        <f>$K$168/$F$171</f>
        <v>70.733333333333334</v>
      </c>
      <c r="P169" s="29">
        <f>$K$168/$F$171</f>
        <v>70.733333333333334</v>
      </c>
      <c r="Q169" s="189" t="str">
        <f ca="1">_xlfn.FORMULATEXT(L169)</f>
        <v>=$K$168/$F$171</v>
      </c>
    </row>
    <row r="170" spans="2:17">
      <c r="Q170" s="189"/>
    </row>
    <row r="171" spans="2:17">
      <c r="D171" t="str">
        <f>Inp!D63</f>
        <v>Remaining Assets</v>
      </c>
      <c r="E171" s="49" t="s">
        <v>88</v>
      </c>
      <c r="F171" s="50">
        <f>Inp!F63</f>
        <v>9</v>
      </c>
      <c r="Q171" s="189"/>
    </row>
    <row r="172" spans="2:17">
      <c r="D172" t="str">
        <f>Inp!D64</f>
        <v>New Assets</v>
      </c>
      <c r="E172" s="49" t="s">
        <v>88</v>
      </c>
      <c r="F172" s="50">
        <f>Inp!F64</f>
        <v>15</v>
      </c>
      <c r="Q172" s="189"/>
    </row>
    <row r="173" spans="2:17">
      <c r="Q173" s="189"/>
    </row>
    <row r="174" spans="2:17">
      <c r="C174" t="s">
        <v>125</v>
      </c>
      <c r="I174" s="75" t="s">
        <v>88</v>
      </c>
      <c r="J174" s="75" t="s">
        <v>85</v>
      </c>
      <c r="L174" s="34">
        <f>L$6</f>
        <v>2021</v>
      </c>
      <c r="M174" s="34">
        <f t="shared" ref="M174:P174" si="119">M$6</f>
        <v>2022</v>
      </c>
      <c r="N174" s="34">
        <f t="shared" si="119"/>
        <v>2023</v>
      </c>
      <c r="O174" s="34">
        <f t="shared" si="119"/>
        <v>2024</v>
      </c>
      <c r="P174" s="34">
        <f t="shared" si="119"/>
        <v>2025</v>
      </c>
      <c r="Q174" s="189" t="str">
        <f t="shared" ref="Q174:Q175" ca="1" si="120">_xlfn.FORMULATEXT(L174)</f>
        <v>=L$6</v>
      </c>
    </row>
    <row r="175" spans="2:17" ht="23.65">
      <c r="I175" s="37">
        <f t="array" ref="I175:I179">TRANSPOSE(L174:P174)</f>
        <v>2021</v>
      </c>
      <c r="J175" s="74">
        <f t="array" ref="J175:J179">TRANSPOSE($L$167:$P$167)</f>
        <v>225</v>
      </c>
      <c r="L175">
        <f>IF(L$174=$I175,$J175/$F$172/2,$J175/$F$172)</f>
        <v>7.5</v>
      </c>
      <c r="M175">
        <f>IF(M$174=$I175,$J175/$F$172/2,$J175/$F$172)</f>
        <v>15</v>
      </c>
      <c r="N175">
        <f>IF(N$174=$I175,$J175/$F$172/2,$J175/$F$172)</f>
        <v>15</v>
      </c>
      <c r="O175">
        <f>IF(O$174=$I175,$J175/$F$172/2,$J175/$F$172)</f>
        <v>15</v>
      </c>
      <c r="P175">
        <f>IF(P$174=$I175,$J175/$F$172/2,$J175/$F$172)</f>
        <v>15</v>
      </c>
      <c r="Q175" s="189" t="str">
        <f t="shared" ca="1" si="120"/>
        <v>=IF(L$174=$I175,$J175/$F$172/2,$J175/$F$172)</v>
      </c>
    </row>
    <row r="176" spans="2:17">
      <c r="I176" s="37">
        <v>2022</v>
      </c>
      <c r="J176" s="42">
        <v>250</v>
      </c>
      <c r="M176">
        <f>IF(M$174=$I176,$J176/$F$172/2,$J176/$F$172)</f>
        <v>8.3333333333333339</v>
      </c>
      <c r="N176">
        <f>IF(N$174=$I176,$J176/$F$172/2,$J176/$F$172)</f>
        <v>16.666666666666668</v>
      </c>
      <c r="O176">
        <f>IF(O$174=$I176,$J176/$F$172/2,$J176/$F$172)</f>
        <v>16.666666666666668</v>
      </c>
      <c r="P176">
        <f>IF(P$174=$I176,$J176/$F$172/2,$J176/$F$172)</f>
        <v>16.666666666666668</v>
      </c>
      <c r="Q176" s="189"/>
    </row>
    <row r="177" spans="3:17">
      <c r="I177" s="37">
        <v>2023</v>
      </c>
      <c r="J177" s="42">
        <v>275</v>
      </c>
      <c r="N177">
        <f>IF(N$174=$I177,$J177/$F$172/2,$J177/$F$172)</f>
        <v>9.1666666666666661</v>
      </c>
      <c r="O177">
        <f>IF(O$174=$I177,$J177/$F$172/2,$J177/$F$172)</f>
        <v>18.333333333333332</v>
      </c>
      <c r="P177">
        <f>IF(P$174=$I177,$J177/$F$172/2,$J177/$F$172)</f>
        <v>18.333333333333332</v>
      </c>
      <c r="Q177" s="189"/>
    </row>
    <row r="178" spans="3:17">
      <c r="I178" s="37">
        <v>2024</v>
      </c>
      <c r="J178" s="42">
        <v>275</v>
      </c>
      <c r="O178">
        <f>IF(O$174=$I178,$J178/$F$172/2,$J178/$F$172)</f>
        <v>9.1666666666666661</v>
      </c>
      <c r="P178">
        <f>IF(P$174=$I178,$J178/$F$172/2,$J178/$F$172)</f>
        <v>18.333333333333332</v>
      </c>
      <c r="Q178" s="189"/>
    </row>
    <row r="179" spans="3:17">
      <c r="I179" s="37">
        <v>2025</v>
      </c>
      <c r="J179" s="43">
        <v>275</v>
      </c>
      <c r="P179">
        <f>IF(P$174=$I179,$J179/$F$172/2,$J179/$F$172)</f>
        <v>9.1666666666666661</v>
      </c>
      <c r="Q179" s="189"/>
    </row>
    <row r="180" spans="3:17">
      <c r="I180" s="37"/>
      <c r="Q180" s="189"/>
    </row>
    <row r="181" spans="3:17" s="29" customFormat="1">
      <c r="D181" s="29" t="s">
        <v>126</v>
      </c>
      <c r="E181" s="49" t="s">
        <v>212</v>
      </c>
      <c r="L181" s="29">
        <f>SUM(L175:L179)</f>
        <v>7.5</v>
      </c>
      <c r="M181" s="29">
        <f t="shared" ref="M181:P181" si="121">SUM(M175:M179)</f>
        <v>23.333333333333336</v>
      </c>
      <c r="N181" s="29">
        <f t="shared" si="121"/>
        <v>40.833333333333336</v>
      </c>
      <c r="O181" s="29">
        <f t="shared" si="121"/>
        <v>59.166666666666664</v>
      </c>
      <c r="P181" s="29">
        <f t="shared" si="121"/>
        <v>77.5</v>
      </c>
      <c r="Q181" s="189" t="str">
        <f ca="1">_xlfn.FORMULATEXT(L181)</f>
        <v>=SUM(L175:L179)</v>
      </c>
    </row>
    <row r="182" spans="3:17" s="29" customFormat="1">
      <c r="D182" s="29" t="s">
        <v>127</v>
      </c>
      <c r="E182" s="49" t="s">
        <v>212</v>
      </c>
      <c r="L182" s="29">
        <f>L169+L181</f>
        <v>78.233333333333334</v>
      </c>
      <c r="M182" s="29">
        <f t="shared" ref="M182:P182" si="122">M169+M181</f>
        <v>94.066666666666663</v>
      </c>
      <c r="N182" s="29">
        <f t="shared" si="122"/>
        <v>111.56666666666666</v>
      </c>
      <c r="O182" s="29">
        <f t="shared" si="122"/>
        <v>129.9</v>
      </c>
      <c r="P182" s="29">
        <f t="shared" si="122"/>
        <v>148.23333333333335</v>
      </c>
      <c r="Q182" s="189" t="str">
        <f ca="1">_xlfn.FORMULATEXT(L182)</f>
        <v>=L169+L181</v>
      </c>
    </row>
    <row r="183" spans="3:17">
      <c r="Q183" s="189"/>
    </row>
    <row r="184" spans="3:17">
      <c r="D184" s="38" t="s">
        <v>196</v>
      </c>
      <c r="Q184" s="189"/>
    </row>
    <row r="185" spans="3:17">
      <c r="D185" t="str">
        <f>Inp!D67</f>
        <v>Additions</v>
      </c>
      <c r="E185" s="49" t="s">
        <v>212</v>
      </c>
      <c r="L185" s="50">
        <f>Inp!L67</f>
        <v>40</v>
      </c>
      <c r="M185" s="50">
        <f>Inp!M67</f>
        <v>40</v>
      </c>
      <c r="N185" s="50">
        <f>Inp!N67</f>
        <v>40</v>
      </c>
      <c r="O185" s="50">
        <f>Inp!O67</f>
        <v>40</v>
      </c>
      <c r="P185" s="50">
        <f>Inp!P67</f>
        <v>40</v>
      </c>
      <c r="Q185" s="189" t="str">
        <f ca="1">_xlfn.FORMULATEXT(L185)</f>
        <v>=Inp!L67</v>
      </c>
    </row>
    <row r="186" spans="3:17">
      <c r="D186" t="s">
        <v>124</v>
      </c>
      <c r="E186" s="49" t="s">
        <v>212</v>
      </c>
      <c r="K186" s="50">
        <f>K90</f>
        <v>207.89999999999998</v>
      </c>
      <c r="Q186" s="189"/>
    </row>
    <row r="187" spans="3:17">
      <c r="Q187" s="189"/>
    </row>
    <row r="188" spans="3:17" s="29" customFormat="1">
      <c r="D188" s="29" t="s">
        <v>248</v>
      </c>
      <c r="E188" s="49" t="s">
        <v>212</v>
      </c>
      <c r="L188" s="29">
        <f>$K$186/$F$189</f>
        <v>41.58</v>
      </c>
      <c r="M188" s="29">
        <f>$K$186/$F$189</f>
        <v>41.58</v>
      </c>
      <c r="N188" s="29">
        <f>$K$186/$F$189</f>
        <v>41.58</v>
      </c>
      <c r="O188" s="29">
        <f>$K$186/$F$189</f>
        <v>41.58</v>
      </c>
      <c r="P188" s="29">
        <f>$K$186/$F$189</f>
        <v>41.58</v>
      </c>
      <c r="Q188" s="189" t="str">
        <f ca="1">_xlfn.FORMULATEXT(L188)</f>
        <v>=$K$186/$F$189</v>
      </c>
    </row>
    <row r="189" spans="3:17">
      <c r="D189" t="str">
        <f>Inp!D71</f>
        <v>Remaining Assets</v>
      </c>
      <c r="E189" s="49" t="s">
        <v>88</v>
      </c>
      <c r="F189" s="50">
        <f>Inp!F71</f>
        <v>5</v>
      </c>
      <c r="Q189" s="189"/>
    </row>
    <row r="190" spans="3:17">
      <c r="D190" t="str">
        <f>Inp!D72</f>
        <v>New Assets</v>
      </c>
      <c r="E190" s="49" t="s">
        <v>88</v>
      </c>
      <c r="F190" s="50">
        <f>Inp!F72</f>
        <v>10</v>
      </c>
      <c r="Q190" s="189"/>
    </row>
    <row r="191" spans="3:17">
      <c r="Q191" s="189"/>
    </row>
    <row r="192" spans="3:17">
      <c r="C192" t="s">
        <v>258</v>
      </c>
      <c r="I192" s="75" t="s">
        <v>88</v>
      </c>
      <c r="J192" s="75" t="s">
        <v>85</v>
      </c>
      <c r="L192" s="34">
        <f>L$6</f>
        <v>2021</v>
      </c>
      <c r="M192" s="34">
        <f t="shared" ref="M192:P192" si="123">M$6</f>
        <v>2022</v>
      </c>
      <c r="N192" s="34">
        <f t="shared" si="123"/>
        <v>2023</v>
      </c>
      <c r="O192" s="34">
        <f t="shared" si="123"/>
        <v>2024</v>
      </c>
      <c r="P192" s="34">
        <f t="shared" si="123"/>
        <v>2025</v>
      </c>
      <c r="Q192" s="189" t="str">
        <f t="shared" ref="Q192:Q193" ca="1" si="124">_xlfn.FORMULATEXT(L192)</f>
        <v>=L$6</v>
      </c>
    </row>
    <row r="193" spans="4:17" ht="23.65">
      <c r="I193" s="37">
        <f t="array" ref="I193:I197">TRANSPOSE(L192:P192)</f>
        <v>2021</v>
      </c>
      <c r="J193" s="74">
        <f t="array" ref="J193:J197">TRANSPOSE($L$185:$P$185)</f>
        <v>40</v>
      </c>
      <c r="L193">
        <f>IF(L$192=$I193,$J193/$F$190/2,$J193/$F$190)</f>
        <v>2</v>
      </c>
      <c r="M193">
        <f>IF(M$192=$I193,$J193/$F$190/2,$J193/$F$190)</f>
        <v>4</v>
      </c>
      <c r="N193">
        <f t="shared" ref="N193:P195" si="125">IF(N$192=$I193,$J193/$F$190/2,$J193/$F$190)</f>
        <v>4</v>
      </c>
      <c r="O193">
        <f t="shared" si="125"/>
        <v>4</v>
      </c>
      <c r="P193">
        <f t="shared" si="125"/>
        <v>4</v>
      </c>
      <c r="Q193" s="189" t="str">
        <f t="shared" ca="1" si="124"/>
        <v>=IF(L$192=$I193,$J193/$F$190/2,$J193/$F$190)</v>
      </c>
    </row>
    <row r="194" spans="4:17">
      <c r="I194" s="37">
        <v>2022</v>
      </c>
      <c r="J194" s="42">
        <v>40</v>
      </c>
      <c r="M194">
        <f>IF(M$192=$I194,$J194/$F$190/2,$J194/$F$190)</f>
        <v>2</v>
      </c>
      <c r="N194">
        <f t="shared" si="125"/>
        <v>4</v>
      </c>
      <c r="O194">
        <f t="shared" si="125"/>
        <v>4</v>
      </c>
      <c r="P194">
        <f t="shared" si="125"/>
        <v>4</v>
      </c>
      <c r="Q194" s="189"/>
    </row>
    <row r="195" spans="4:17">
      <c r="I195" s="37">
        <v>2023</v>
      </c>
      <c r="J195" s="42">
        <v>40</v>
      </c>
      <c r="N195">
        <f>IF(N$192=$I195,$J195/$F$190/2,$J195/$F$190)</f>
        <v>2</v>
      </c>
      <c r="O195">
        <f t="shared" si="125"/>
        <v>4</v>
      </c>
      <c r="P195">
        <f t="shared" si="125"/>
        <v>4</v>
      </c>
      <c r="Q195" s="189"/>
    </row>
    <row r="196" spans="4:17">
      <c r="I196" s="37">
        <v>2024</v>
      </c>
      <c r="J196" s="42">
        <v>40</v>
      </c>
      <c r="O196">
        <f>IF(O$192=$I196,$J196/$F$190/2,$J196/$F$190)</f>
        <v>2</v>
      </c>
      <c r="P196">
        <f>IF(P$192=$I196,$J196/$F$190/2,$J196/$F$190)</f>
        <v>4</v>
      </c>
      <c r="Q196" s="189"/>
    </row>
    <row r="197" spans="4:17">
      <c r="I197" s="37">
        <v>2025</v>
      </c>
      <c r="J197" s="43">
        <v>40</v>
      </c>
      <c r="P197">
        <f>IF(P$192=$I197,$J197/$F$190/2,$J197/$F$190)</f>
        <v>2</v>
      </c>
      <c r="Q197" s="189"/>
    </row>
    <row r="198" spans="4:17" s="29" customFormat="1">
      <c r="D198" s="29" t="s">
        <v>247</v>
      </c>
      <c r="E198" s="49" t="s">
        <v>212</v>
      </c>
      <c r="L198" s="29">
        <f>SUM(L193:L197)</f>
        <v>2</v>
      </c>
      <c r="M198" s="29">
        <f>SUM(M193:M197)</f>
        <v>6</v>
      </c>
      <c r="N198" s="29">
        <f>SUM(N193:N197)</f>
        <v>10</v>
      </c>
      <c r="O198" s="29">
        <f>SUM(O193:O197)</f>
        <v>14</v>
      </c>
      <c r="P198" s="29">
        <f>SUM(P193:P197)</f>
        <v>18</v>
      </c>
      <c r="Q198" s="189" t="str">
        <f ca="1">_xlfn.FORMULATEXT(L198)</f>
        <v>=SUM(L193:L197)</v>
      </c>
    </row>
    <row r="199" spans="4:17" s="29" customFormat="1">
      <c r="D199" s="29" t="s">
        <v>250</v>
      </c>
      <c r="E199" s="49" t="s">
        <v>212</v>
      </c>
      <c r="L199" s="29">
        <f>L188+L198</f>
        <v>43.58</v>
      </c>
      <c r="M199" s="29">
        <f>M188+M198</f>
        <v>47.58</v>
      </c>
      <c r="N199" s="29">
        <f>N188+N198</f>
        <v>51.58</v>
      </c>
      <c r="O199" s="29">
        <f>O188+O198</f>
        <v>55.58</v>
      </c>
      <c r="P199" s="29">
        <f>P188+P198</f>
        <v>59.58</v>
      </c>
      <c r="Q199" s="189" t="str">
        <f ca="1">_xlfn.FORMULATEXT(L199)</f>
        <v>=L188+L198</v>
      </c>
    </row>
    <row r="200" spans="4:17">
      <c r="D200" s="71" t="s">
        <v>251</v>
      </c>
      <c r="E200" s="76" t="s">
        <v>212</v>
      </c>
      <c r="F200" s="53"/>
      <c r="G200" s="53"/>
      <c r="H200" s="53"/>
      <c r="I200" s="53"/>
      <c r="J200" s="53"/>
      <c r="K200" s="53"/>
      <c r="L200" s="72">
        <f>L182+L199</f>
        <v>121.81333333333333</v>
      </c>
      <c r="M200" s="72">
        <f>M182+M199</f>
        <v>141.64666666666665</v>
      </c>
      <c r="N200" s="72">
        <f>N182+N199</f>
        <v>163.14666666666665</v>
      </c>
      <c r="O200" s="72">
        <f>O182+O199</f>
        <v>185.48000000000002</v>
      </c>
      <c r="P200" s="73">
        <f>P182+P199</f>
        <v>207.81333333333333</v>
      </c>
      <c r="Q200" s="189" t="str">
        <f ca="1">_xlfn.FORMULATEXT(L200)</f>
        <v>=L182+L199</v>
      </c>
    </row>
    <row r="201" spans="4:17">
      <c r="Q201" s="189"/>
    </row>
    <row r="202" spans="4:17">
      <c r="D202" s="38" t="s">
        <v>252</v>
      </c>
      <c r="Q202" s="189"/>
    </row>
    <row r="203" spans="4:17">
      <c r="D203" t="s">
        <v>253</v>
      </c>
      <c r="L203">
        <f>K206</f>
        <v>636.6</v>
      </c>
      <c r="M203">
        <f t="shared" ref="M203:P203" si="126">L206</f>
        <v>783.36666666666667</v>
      </c>
      <c r="N203">
        <f t="shared" si="126"/>
        <v>939.30000000000018</v>
      </c>
      <c r="O203">
        <f t="shared" si="126"/>
        <v>1102.7333333333336</v>
      </c>
      <c r="P203">
        <f t="shared" si="126"/>
        <v>1247.8333333333335</v>
      </c>
      <c r="Q203" s="189"/>
    </row>
    <row r="204" spans="4:17">
      <c r="D204" t="s">
        <v>254</v>
      </c>
      <c r="L204">
        <f>L167</f>
        <v>225</v>
      </c>
      <c r="M204">
        <f>M167</f>
        <v>250</v>
      </c>
      <c r="N204">
        <f>N167</f>
        <v>275</v>
      </c>
      <c r="O204">
        <f>O167</f>
        <v>275</v>
      </c>
      <c r="P204">
        <f>P167</f>
        <v>275</v>
      </c>
      <c r="Q204" s="189"/>
    </row>
    <row r="205" spans="4:17">
      <c r="D205" t="s">
        <v>255</v>
      </c>
      <c r="L205">
        <f>L182</f>
        <v>78.233333333333334</v>
      </c>
      <c r="M205">
        <f>M182</f>
        <v>94.066666666666663</v>
      </c>
      <c r="N205">
        <f>N182</f>
        <v>111.56666666666666</v>
      </c>
      <c r="O205">
        <f>O182</f>
        <v>129.9</v>
      </c>
      <c r="P205">
        <f>P182</f>
        <v>148.23333333333335</v>
      </c>
      <c r="Q205" s="189"/>
    </row>
    <row r="206" spans="4:17">
      <c r="D206" t="s">
        <v>256</v>
      </c>
      <c r="K206" s="50">
        <f>K88</f>
        <v>636.6</v>
      </c>
      <c r="L206" s="29">
        <f>L203+L204-L205</f>
        <v>783.36666666666667</v>
      </c>
      <c r="M206" s="29">
        <f t="shared" ref="M206:P206" si="127">M203+M204-M205</f>
        <v>939.30000000000018</v>
      </c>
      <c r="N206" s="29">
        <f t="shared" si="127"/>
        <v>1102.7333333333336</v>
      </c>
      <c r="O206" s="29">
        <f t="shared" si="127"/>
        <v>1247.8333333333335</v>
      </c>
      <c r="P206" s="29">
        <f t="shared" si="127"/>
        <v>1374.6000000000001</v>
      </c>
      <c r="Q206" s="189"/>
    </row>
    <row r="207" spans="4:17" ht="4.05" customHeight="1">
      <c r="Q207" s="189"/>
    </row>
    <row r="208" spans="4:17">
      <c r="D208" s="38" t="s">
        <v>257</v>
      </c>
      <c r="Q208" s="189"/>
    </row>
    <row r="209" spans="2:17">
      <c r="D209" t="s">
        <v>253</v>
      </c>
      <c r="L209">
        <f>K212</f>
        <v>207.89999999999998</v>
      </c>
      <c r="M209">
        <f t="shared" ref="M209:P209" si="128">L212</f>
        <v>204.32</v>
      </c>
      <c r="N209">
        <f t="shared" si="128"/>
        <v>196.74</v>
      </c>
      <c r="O209">
        <f t="shared" si="128"/>
        <v>185.16000000000003</v>
      </c>
      <c r="P209">
        <f t="shared" si="128"/>
        <v>169.58000000000004</v>
      </c>
      <c r="Q209" s="189"/>
    </row>
    <row r="210" spans="2:17">
      <c r="D210" t="s">
        <v>254</v>
      </c>
      <c r="L210">
        <f>L185</f>
        <v>40</v>
      </c>
      <c r="M210">
        <f>M185</f>
        <v>40</v>
      </c>
      <c r="N210">
        <f>N185</f>
        <v>40</v>
      </c>
      <c r="O210">
        <f>O185</f>
        <v>40</v>
      </c>
      <c r="P210">
        <f>P185</f>
        <v>40</v>
      </c>
      <c r="Q210" s="189"/>
    </row>
    <row r="211" spans="2:17">
      <c r="D211" t="s">
        <v>255</v>
      </c>
      <c r="L211">
        <f>L199</f>
        <v>43.58</v>
      </c>
      <c r="M211">
        <f>M199</f>
        <v>47.58</v>
      </c>
      <c r="N211">
        <f>N199</f>
        <v>51.58</v>
      </c>
      <c r="O211">
        <f>O199</f>
        <v>55.58</v>
      </c>
      <c r="P211">
        <f>P199</f>
        <v>59.58</v>
      </c>
      <c r="Q211" s="189"/>
    </row>
    <row r="212" spans="2:17">
      <c r="D212" t="s">
        <v>256</v>
      </c>
      <c r="K212" s="50">
        <f>K90</f>
        <v>207.89999999999998</v>
      </c>
      <c r="L212" s="29">
        <f>L209+L210-L211</f>
        <v>204.32</v>
      </c>
      <c r="M212" s="29">
        <f t="shared" ref="M212:P212" si="129">M209+M210-M211</f>
        <v>196.74</v>
      </c>
      <c r="N212" s="29">
        <f t="shared" si="129"/>
        <v>185.16000000000003</v>
      </c>
      <c r="O212" s="29">
        <f t="shared" si="129"/>
        <v>169.58000000000004</v>
      </c>
      <c r="P212" s="29">
        <f t="shared" si="129"/>
        <v>150.00000000000006</v>
      </c>
      <c r="Q212" s="189"/>
    </row>
    <row r="213" spans="2:17">
      <c r="Q213" s="189"/>
    </row>
    <row r="214" spans="2:17">
      <c r="Q214" s="189"/>
    </row>
    <row r="215" spans="2:17">
      <c r="Q215" s="189"/>
    </row>
    <row r="216" spans="2:17" ht="13.25" thickBot="1">
      <c r="B216" s="36" t="s">
        <v>128</v>
      </c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189"/>
    </row>
    <row r="217" spans="2:17">
      <c r="Q217" s="189"/>
    </row>
    <row r="218" spans="2:17">
      <c r="D218" t="str">
        <f>Inp!D100</f>
        <v>Company Tax Rate</v>
      </c>
      <c r="E218" s="49" t="str">
        <f>Inp!E100</f>
        <v>%</v>
      </c>
      <c r="F218" s="51">
        <f>Inp!F100</f>
        <v>0.3</v>
      </c>
      <c r="Q218" s="189"/>
    </row>
    <row r="219" spans="2:17">
      <c r="Q219" s="189"/>
    </row>
    <row r="220" spans="2:17">
      <c r="Q220" s="189"/>
    </row>
    <row r="221" spans="2:17">
      <c r="D221" t="s">
        <v>129</v>
      </c>
      <c r="E221" s="49" t="s">
        <v>212</v>
      </c>
      <c r="L221">
        <f ca="1">L26</f>
        <v>250.01734183840378</v>
      </c>
      <c r="M221">
        <f ca="1">M26</f>
        <v>228.37656370402595</v>
      </c>
      <c r="N221">
        <f ca="1">N26</f>
        <v>193.20248501507555</v>
      </c>
      <c r="O221">
        <f ca="1">O26</f>
        <v>43.440096062204276</v>
      </c>
      <c r="P221">
        <f ca="1">P26</f>
        <v>-57.432065567175975</v>
      </c>
      <c r="Q221" s="189" t="str">
        <f t="shared" ref="Q221:Q223" ca="1" si="130">_xlfn.FORMULATEXT(L221)</f>
        <v>=L26</v>
      </c>
    </row>
    <row r="222" spans="2:17">
      <c r="D222" t="str">
        <f>Inp!D102</f>
        <v>Incremental in EBT due to timing Diff</v>
      </c>
      <c r="E222" s="49" t="s">
        <v>212</v>
      </c>
      <c r="L222">
        <f>Inp!L102</f>
        <v>20</v>
      </c>
      <c r="M222">
        <f>Inp!M102</f>
        <v>20</v>
      </c>
      <c r="N222">
        <f>Inp!N102</f>
        <v>20</v>
      </c>
      <c r="O222">
        <f>Inp!O102</f>
        <v>20</v>
      </c>
      <c r="P222">
        <f>Inp!P102</f>
        <v>20</v>
      </c>
      <c r="Q222" s="189" t="str">
        <f t="shared" ca="1" si="130"/>
        <v>=Inp!L102</v>
      </c>
    </row>
    <row r="223" spans="2:17">
      <c r="D223" t="s">
        <v>130</v>
      </c>
      <c r="E223" s="49" t="s">
        <v>212</v>
      </c>
      <c r="L223">
        <f ca="1">L221+L222</f>
        <v>270.01734183840381</v>
      </c>
      <c r="M223">
        <f t="shared" ref="M223:P223" ca="1" si="131">M221+M222</f>
        <v>248.37656370402595</v>
      </c>
      <c r="N223">
        <f t="shared" ca="1" si="131"/>
        <v>213.20248501507555</v>
      </c>
      <c r="O223">
        <f t="shared" ca="1" si="131"/>
        <v>63.440096062204276</v>
      </c>
      <c r="P223">
        <f t="shared" ca="1" si="131"/>
        <v>-37.432065567175975</v>
      </c>
      <c r="Q223" s="189" t="str">
        <f t="shared" ca="1" si="130"/>
        <v>=L221+L222</v>
      </c>
    </row>
    <row r="224" spans="2:17">
      <c r="E224" s="49"/>
      <c r="Q224" s="189"/>
    </row>
    <row r="225" spans="2:17">
      <c r="D225" t="s">
        <v>131</v>
      </c>
      <c r="E225" s="49" t="s">
        <v>212</v>
      </c>
      <c r="L225">
        <f ca="1">L221*$F$218</f>
        <v>75.005202551521137</v>
      </c>
      <c r="M225">
        <f t="shared" ref="M225:P225" ca="1" si="132">M221*$F$218</f>
        <v>68.512969111207781</v>
      </c>
      <c r="N225">
        <f t="shared" ca="1" si="132"/>
        <v>57.960745504522663</v>
      </c>
      <c r="O225">
        <f t="shared" ca="1" si="132"/>
        <v>13.032028818661283</v>
      </c>
      <c r="P225">
        <f t="shared" ca="1" si="132"/>
        <v>-17.229619670152793</v>
      </c>
      <c r="Q225" s="189" t="str">
        <f ca="1">_xlfn.FORMULATEXT(L225)</f>
        <v>=L221*$F$218</v>
      </c>
    </row>
    <row r="226" spans="2:17">
      <c r="E226" s="49"/>
      <c r="Q226" s="189"/>
    </row>
    <row r="227" spans="2:17">
      <c r="E227" s="49"/>
      <c r="Q227" s="189"/>
    </row>
    <row r="228" spans="2:17">
      <c r="D228" s="60" t="str">
        <f>D28</f>
        <v>Current Taxes</v>
      </c>
      <c r="E228" s="69" t="s">
        <v>212</v>
      </c>
      <c r="F228" s="61"/>
      <c r="G228" s="61"/>
      <c r="H228" s="61"/>
      <c r="I228" s="61"/>
      <c r="J228" s="61"/>
      <c r="K228" s="61"/>
      <c r="L228" s="61">
        <f ca="1">L223*$F$218</f>
        <v>81.005202551521137</v>
      </c>
      <c r="M228" s="61">
        <f t="shared" ref="M228:P228" ca="1" si="133">M223*$F$218</f>
        <v>74.512969111207781</v>
      </c>
      <c r="N228" s="61">
        <f t="shared" ca="1" si="133"/>
        <v>63.960745504522663</v>
      </c>
      <c r="O228" s="61">
        <f t="shared" ca="1" si="133"/>
        <v>19.032028818661281</v>
      </c>
      <c r="P228" s="62">
        <f t="shared" ca="1" si="133"/>
        <v>-11.229619670152791</v>
      </c>
      <c r="Q228" s="189" t="str">
        <f t="shared" ref="Q228:Q231" ca="1" si="134">_xlfn.FORMULATEXT(L228)</f>
        <v>=L223*$F$218</v>
      </c>
    </row>
    <row r="229" spans="2:17">
      <c r="D229" s="63" t="str">
        <f>D29</f>
        <v>Deferred Income Taxes</v>
      </c>
      <c r="E229" s="70" t="s">
        <v>212</v>
      </c>
      <c r="F229" s="64"/>
      <c r="G229" s="64"/>
      <c r="H229" s="64"/>
      <c r="I229" s="64"/>
      <c r="J229" s="64"/>
      <c r="K229" s="64"/>
      <c r="L229" s="64">
        <f>L222*$F$218</f>
        <v>6</v>
      </c>
      <c r="M229" s="64">
        <f t="shared" ref="M229:P229" si="135">M222*$F$218</f>
        <v>6</v>
      </c>
      <c r="N229" s="64">
        <f t="shared" si="135"/>
        <v>6</v>
      </c>
      <c r="O229" s="64">
        <f t="shared" si="135"/>
        <v>6</v>
      </c>
      <c r="P229" s="65">
        <f t="shared" si="135"/>
        <v>6</v>
      </c>
      <c r="Q229" s="189" t="str">
        <f t="shared" ca="1" si="134"/>
        <v>=L222*$F$218</v>
      </c>
    </row>
    <row r="230" spans="2:17">
      <c r="D230" s="66" t="s">
        <v>131</v>
      </c>
      <c r="E230" s="79" t="s">
        <v>212</v>
      </c>
      <c r="F230" s="67"/>
      <c r="G230" s="67"/>
      <c r="H230" s="67"/>
      <c r="I230" s="67"/>
      <c r="J230" s="67"/>
      <c r="K230" s="67"/>
      <c r="L230" s="67">
        <f ca="1">L228-L229</f>
        <v>75.005202551521137</v>
      </c>
      <c r="M230" s="67">
        <f t="shared" ref="M230:P230" ca="1" si="136">M228-M229</f>
        <v>68.512969111207781</v>
      </c>
      <c r="N230" s="67">
        <f t="shared" ca="1" si="136"/>
        <v>57.960745504522663</v>
      </c>
      <c r="O230" s="67">
        <f t="shared" ca="1" si="136"/>
        <v>13.032028818661281</v>
      </c>
      <c r="P230" s="78">
        <f t="shared" ca="1" si="136"/>
        <v>-17.229619670152793</v>
      </c>
      <c r="Q230" s="189" t="str">
        <f t="shared" ca="1" si="134"/>
        <v>=L228-L229</v>
      </c>
    </row>
    <row r="231" spans="2:17">
      <c r="D231" t="s">
        <v>132</v>
      </c>
      <c r="L231" s="77">
        <f ca="1">L230-L225</f>
        <v>0</v>
      </c>
      <c r="M231" s="77">
        <f t="shared" ref="M231:P231" ca="1" si="137">M230-M225</f>
        <v>0</v>
      </c>
      <c r="N231" s="77">
        <f t="shared" ca="1" si="137"/>
        <v>0</v>
      </c>
      <c r="O231" s="77">
        <f t="shared" ca="1" si="137"/>
        <v>0</v>
      </c>
      <c r="P231" s="77">
        <f t="shared" ca="1" si="137"/>
        <v>0</v>
      </c>
      <c r="Q231" s="189" t="str">
        <f t="shared" ca="1" si="134"/>
        <v>=L230-L225</v>
      </c>
    </row>
    <row r="232" spans="2:17">
      <c r="Q232" s="189"/>
    </row>
    <row r="233" spans="2:17">
      <c r="Q233" s="189"/>
    </row>
    <row r="234" spans="2:17" ht="13.25" thickBot="1">
      <c r="B234" s="36" t="s">
        <v>133</v>
      </c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189"/>
    </row>
    <row r="235" spans="2:17">
      <c r="Q235" s="189"/>
    </row>
    <row r="236" spans="2:17">
      <c r="D236" t="s">
        <v>58</v>
      </c>
      <c r="E236" s="49" t="s">
        <v>94</v>
      </c>
      <c r="I236" s="50">
        <f>Inp!I11</f>
        <v>365</v>
      </c>
      <c r="J236" s="50">
        <f>Inp!J11</f>
        <v>365</v>
      </c>
      <c r="K236" s="50">
        <f>Inp!K11</f>
        <v>366</v>
      </c>
      <c r="L236" s="50">
        <f>Inp!L11</f>
        <v>365</v>
      </c>
      <c r="M236" s="50">
        <f>Inp!M11</f>
        <v>365</v>
      </c>
      <c r="N236" s="50">
        <f>Inp!N11</f>
        <v>365</v>
      </c>
      <c r="O236" s="50">
        <f>Inp!O11</f>
        <v>366</v>
      </c>
      <c r="P236" s="50">
        <f>Inp!P11</f>
        <v>365</v>
      </c>
      <c r="Q236" s="189" t="str">
        <f ca="1">_xlfn.FORMULATEXT(L236)</f>
        <v>=Inp!L11</v>
      </c>
    </row>
    <row r="237" spans="2:17" ht="5.5" customHeight="1">
      <c r="Q237" s="189"/>
    </row>
    <row r="238" spans="2:17">
      <c r="C238" s="38" t="s">
        <v>95</v>
      </c>
      <c r="E238" s="49"/>
      <c r="Q238" s="189"/>
    </row>
    <row r="239" spans="2:17">
      <c r="D239" t="s">
        <v>91</v>
      </c>
      <c r="E239" s="49" t="s">
        <v>212</v>
      </c>
      <c r="I239" s="50">
        <f t="shared" ref="I239:P239" si="138">I12</f>
        <v>3194.1</v>
      </c>
      <c r="J239" s="50">
        <f t="shared" si="138"/>
        <v>3524.7</v>
      </c>
      <c r="K239" s="50">
        <f t="shared" si="138"/>
        <v>3829.2</v>
      </c>
      <c r="L239" s="50">
        <f t="shared" si="138"/>
        <v>3933.2369399999998</v>
      </c>
      <c r="M239" s="50">
        <f t="shared" si="138"/>
        <v>4040.2997465879998</v>
      </c>
      <c r="N239" s="50">
        <f t="shared" si="138"/>
        <v>4150.4786404449569</v>
      </c>
      <c r="O239" s="50">
        <f t="shared" si="138"/>
        <v>4120.4796983969991</v>
      </c>
      <c r="P239" s="50">
        <f t="shared" si="138"/>
        <v>4161.6844953809705</v>
      </c>
      <c r="Q239" s="189" t="str">
        <f t="shared" ref="Q239:Q240" ca="1" si="139">_xlfn.FORMULATEXT(L239)</f>
        <v>=L12</v>
      </c>
    </row>
    <row r="240" spans="2:17">
      <c r="D240" t="s">
        <v>1</v>
      </c>
      <c r="E240" s="49" t="s">
        <v>212</v>
      </c>
      <c r="I240" s="50">
        <f t="shared" ref="I240:P240" si="140">I14</f>
        <v>2291.3000000000002</v>
      </c>
      <c r="J240" s="50">
        <f t="shared" si="140"/>
        <v>2565.9</v>
      </c>
      <c r="K240" s="50">
        <f t="shared" si="140"/>
        <v>2788.8</v>
      </c>
      <c r="L240" s="50">
        <f t="shared" si="140"/>
        <v>2886.8263200000006</v>
      </c>
      <c r="M240" s="50">
        <f t="shared" si="140"/>
        <v>2988.5201629920002</v>
      </c>
      <c r="N240" s="50">
        <f t="shared" si="140"/>
        <v>3094.0283273753957</v>
      </c>
      <c r="O240" s="50">
        <f t="shared" si="140"/>
        <v>3170.2823818926995</v>
      </c>
      <c r="P240" s="50">
        <f t="shared" si="140"/>
        <v>3265.3908533494805</v>
      </c>
      <c r="Q240" s="189" t="str">
        <f t="shared" ca="1" si="139"/>
        <v>=L14</v>
      </c>
    </row>
    <row r="241" spans="3:17" ht="3.9" customHeight="1">
      <c r="E241" s="49"/>
      <c r="Q241" s="189"/>
    </row>
    <row r="242" spans="3:17">
      <c r="C242" s="38" t="s">
        <v>134</v>
      </c>
      <c r="E242" s="49"/>
      <c r="Q242" s="189"/>
    </row>
    <row r="243" spans="3:17">
      <c r="D243" t="s">
        <v>25</v>
      </c>
      <c r="E243" s="49" t="s">
        <v>212</v>
      </c>
      <c r="I243">
        <f t="shared" ref="I243:K245" si="141">I83</f>
        <v>266.60000000000002</v>
      </c>
      <c r="J243">
        <f t="shared" si="141"/>
        <v>306.8</v>
      </c>
      <c r="K243">
        <f t="shared" si="141"/>
        <v>308.39999999999998</v>
      </c>
      <c r="L243">
        <f>L255/L$236*L239</f>
        <v>317.89175268493148</v>
      </c>
      <c r="M243">
        <f>M255/M$236*M239</f>
        <v>326.54477403930412</v>
      </c>
      <c r="N243">
        <f>N255/N$236*N239</f>
        <v>335.4496435428116</v>
      </c>
      <c r="O243">
        <f>O255/O$236*O239</f>
        <v>332.11516694729914</v>
      </c>
      <c r="P243">
        <f>P255/P$236*P239</f>
        <v>336.35532222942089</v>
      </c>
      <c r="Q243" s="189" t="str">
        <f t="shared" ref="Q243:Q250" ca="1" si="142">_xlfn.FORMULATEXT(L243)</f>
        <v>=L255/L$236*L239</v>
      </c>
    </row>
    <row r="244" spans="3:17">
      <c r="D244" t="s">
        <v>26</v>
      </c>
      <c r="E244" s="49" t="s">
        <v>212</v>
      </c>
      <c r="I244">
        <f t="shared" si="141"/>
        <v>532.70000000000005</v>
      </c>
      <c r="J244">
        <f t="shared" si="141"/>
        <v>630.20000000000005</v>
      </c>
      <c r="K244">
        <f t="shared" si="141"/>
        <v>685.9</v>
      </c>
      <c r="L244">
        <f t="shared" ref="L244:P245" si="143">L256/L$236*L$240</f>
        <v>711.82018849315079</v>
      </c>
      <c r="M244">
        <f t="shared" si="143"/>
        <v>736.89538265556166</v>
      </c>
      <c r="N244">
        <f t="shared" si="143"/>
        <v>762.9110944213304</v>
      </c>
      <c r="O244">
        <f t="shared" si="143"/>
        <v>779.57763489164745</v>
      </c>
      <c r="P244">
        <f t="shared" si="143"/>
        <v>805.16486794918694</v>
      </c>
      <c r="Q244" s="189" t="str">
        <f t="shared" ca="1" si="142"/>
        <v>=L256/L$236*L$240</v>
      </c>
    </row>
    <row r="245" spans="3:17">
      <c r="D245" t="s">
        <v>92</v>
      </c>
      <c r="E245" s="49" t="s">
        <v>212</v>
      </c>
      <c r="I245" s="67">
        <f t="shared" si="141"/>
        <v>51.4</v>
      </c>
      <c r="J245" s="67">
        <f t="shared" si="141"/>
        <v>61</v>
      </c>
      <c r="K245" s="67">
        <f t="shared" si="141"/>
        <v>65.3</v>
      </c>
      <c r="L245" s="67">
        <f t="shared" si="143"/>
        <v>68.018373567123305</v>
      </c>
      <c r="M245" s="67">
        <f t="shared" si="143"/>
        <v>70.414447675975893</v>
      </c>
      <c r="N245" s="67">
        <f t="shared" si="143"/>
        <v>72.900393466927127</v>
      </c>
      <c r="O245" s="67">
        <f t="shared" si="143"/>
        <v>74.492974000757428</v>
      </c>
      <c r="P245" s="67">
        <f t="shared" si="143"/>
        <v>76.937976270700091</v>
      </c>
      <c r="Q245" s="189" t="str">
        <f t="shared" ca="1" si="142"/>
        <v>=L257/L$236*L$240</v>
      </c>
    </row>
    <row r="246" spans="3:17" s="29" customFormat="1">
      <c r="D246" s="29" t="s">
        <v>135</v>
      </c>
      <c r="E246" s="49" t="s">
        <v>212</v>
      </c>
      <c r="I246" s="29">
        <f t="shared" ref="I246:P246" si="144">SUM(I243:I245)</f>
        <v>850.7</v>
      </c>
      <c r="J246" s="29">
        <f t="shared" si="144"/>
        <v>998</v>
      </c>
      <c r="K246" s="29">
        <f t="shared" si="144"/>
        <v>1059.5999999999999</v>
      </c>
      <c r="L246" s="29">
        <f t="shared" si="144"/>
        <v>1097.7303147452055</v>
      </c>
      <c r="M246" s="29">
        <f t="shared" si="144"/>
        <v>1133.8546043708418</v>
      </c>
      <c r="N246" s="29">
        <f t="shared" si="144"/>
        <v>1171.2611314310693</v>
      </c>
      <c r="O246" s="29">
        <f t="shared" si="144"/>
        <v>1186.1857758397041</v>
      </c>
      <c r="P246" s="29">
        <f t="shared" si="144"/>
        <v>1218.458166449308</v>
      </c>
      <c r="Q246" s="189" t="str">
        <f t="shared" ca="1" si="142"/>
        <v>=SUM(L243:L245)</v>
      </c>
    </row>
    <row r="247" spans="3:17">
      <c r="D247" t="s">
        <v>34</v>
      </c>
      <c r="E247" s="49" t="s">
        <v>212</v>
      </c>
      <c r="I247">
        <f t="shared" ref="I247:K248" si="145">I100</f>
        <v>547</v>
      </c>
      <c r="J247">
        <f t="shared" si="145"/>
        <v>678.4</v>
      </c>
      <c r="K247">
        <f t="shared" si="145"/>
        <v>650.29999999999995</v>
      </c>
      <c r="L247">
        <f t="shared" ref="L247:P248" si="146">L258/L$236*L$240</f>
        <v>674.64735642739743</v>
      </c>
      <c r="M247">
        <f t="shared" si="146"/>
        <v>698.41306822799345</v>
      </c>
      <c r="N247">
        <f t="shared" si="146"/>
        <v>723.070181712661</v>
      </c>
      <c r="O247">
        <f t="shared" si="146"/>
        <v>738.86635840286135</v>
      </c>
      <c r="P247">
        <f t="shared" si="146"/>
        <v>763.1173692896183</v>
      </c>
      <c r="Q247" s="189" t="str">
        <f t="shared" ca="1" si="142"/>
        <v>=L258/L$236*L$240</v>
      </c>
    </row>
    <row r="248" spans="3:17">
      <c r="D248" t="s">
        <v>93</v>
      </c>
      <c r="E248" s="49" t="s">
        <v>212</v>
      </c>
      <c r="I248" s="67">
        <f t="shared" si="145"/>
        <v>206.6</v>
      </c>
      <c r="J248" s="67">
        <f t="shared" si="145"/>
        <v>248.50000000000006</v>
      </c>
      <c r="K248" s="67">
        <f t="shared" si="145"/>
        <v>266.2</v>
      </c>
      <c r="L248" s="67">
        <f t="shared" si="146"/>
        <v>276.02805087123289</v>
      </c>
      <c r="M248" s="67">
        <f t="shared" si="146"/>
        <v>285.7516539408789</v>
      </c>
      <c r="N248" s="67">
        <f t="shared" si="146"/>
        <v>295.83996883671591</v>
      </c>
      <c r="O248" s="67">
        <f t="shared" si="146"/>
        <v>302.3028828635388</v>
      </c>
      <c r="P248" s="67">
        <f t="shared" si="146"/>
        <v>312.22504323807357</v>
      </c>
      <c r="Q248" s="189" t="str">
        <f t="shared" ca="1" si="142"/>
        <v>=L259/L$236*L$240</v>
      </c>
    </row>
    <row r="249" spans="3:17" s="29" customFormat="1">
      <c r="D249" s="29" t="s">
        <v>136</v>
      </c>
      <c r="E249" s="49" t="s">
        <v>212</v>
      </c>
      <c r="I249" s="29">
        <f>SUM(I247:I248)</f>
        <v>753.6</v>
      </c>
      <c r="J249" s="29">
        <f t="shared" ref="J249:P249" si="147">SUM(J247:J248)</f>
        <v>926.90000000000009</v>
      </c>
      <c r="K249" s="29">
        <f t="shared" si="147"/>
        <v>916.5</v>
      </c>
      <c r="L249" s="29">
        <f t="shared" si="147"/>
        <v>950.67540729863026</v>
      </c>
      <c r="M249" s="29">
        <f t="shared" si="147"/>
        <v>984.16472216887234</v>
      </c>
      <c r="N249" s="29">
        <f t="shared" si="147"/>
        <v>1018.9101505493769</v>
      </c>
      <c r="O249" s="29">
        <f t="shared" si="147"/>
        <v>1041.1692412664001</v>
      </c>
      <c r="P249" s="29">
        <f t="shared" si="147"/>
        <v>1075.342412527692</v>
      </c>
      <c r="Q249" s="189" t="str">
        <f t="shared" ca="1" si="142"/>
        <v>=SUM(L247:L248)</v>
      </c>
    </row>
    <row r="250" spans="3:17" ht="13.25" thickBot="1">
      <c r="D250" s="29" t="s">
        <v>137</v>
      </c>
      <c r="E250" s="49" t="s">
        <v>212</v>
      </c>
      <c r="I250" s="109">
        <f t="shared" ref="I250:P250" si="148">I246-I249</f>
        <v>97.100000000000023</v>
      </c>
      <c r="J250" s="109">
        <f t="shared" si="148"/>
        <v>71.099999999999909</v>
      </c>
      <c r="K250" s="109">
        <f t="shared" si="148"/>
        <v>143.09999999999991</v>
      </c>
      <c r="L250" s="109">
        <f t="shared" si="148"/>
        <v>147.05490744657527</v>
      </c>
      <c r="M250" s="109">
        <f t="shared" si="148"/>
        <v>149.68988220196945</v>
      </c>
      <c r="N250" s="109">
        <f t="shared" si="148"/>
        <v>152.35098088169241</v>
      </c>
      <c r="O250" s="109">
        <f t="shared" si="148"/>
        <v>145.01653457330394</v>
      </c>
      <c r="P250" s="109">
        <f t="shared" si="148"/>
        <v>143.11575392161603</v>
      </c>
      <c r="Q250" s="189" t="str">
        <f t="shared" ca="1" si="142"/>
        <v>=L246-L249</v>
      </c>
    </row>
    <row r="251" spans="3:17" ht="6.05" customHeight="1" thickTop="1">
      <c r="D251" s="29"/>
      <c r="Q251" s="189"/>
    </row>
    <row r="252" spans="3:17">
      <c r="D252" s="71" t="s">
        <v>138</v>
      </c>
      <c r="E252" s="76" t="s">
        <v>212</v>
      </c>
      <c r="F252" s="53"/>
      <c r="G252" s="53"/>
      <c r="H252" s="53"/>
      <c r="I252" s="53"/>
      <c r="J252" s="53">
        <f>I250-J250</f>
        <v>26.000000000000114</v>
      </c>
      <c r="K252" s="53">
        <f t="shared" ref="K252:P252" si="149">J250-K250</f>
        <v>-72</v>
      </c>
      <c r="L252" s="53">
        <f t="shared" si="149"/>
        <v>-3.954907446575362</v>
      </c>
      <c r="M252" s="53">
        <f t="shared" si="149"/>
        <v>-2.6349747553941825</v>
      </c>
      <c r="N252" s="53">
        <f t="shared" si="149"/>
        <v>-2.6610986797229543</v>
      </c>
      <c r="O252" s="53">
        <f t="shared" si="149"/>
        <v>7.3344463083884648</v>
      </c>
      <c r="P252" s="54">
        <f t="shared" si="149"/>
        <v>1.90078065168791</v>
      </c>
      <c r="Q252" s="189" t="str">
        <f ca="1">_xlfn.FORMULATEXT(L252)</f>
        <v>=K250-L250</v>
      </c>
    </row>
    <row r="253" spans="3:17" ht="6.95" customHeight="1">
      <c r="D253" s="29"/>
      <c r="Q253" s="189"/>
    </row>
    <row r="254" spans="3:17">
      <c r="C254" s="38" t="s">
        <v>94</v>
      </c>
      <c r="Q254" s="189"/>
    </row>
    <row r="255" spans="3:17">
      <c r="D255" t="s">
        <v>25</v>
      </c>
      <c r="E255" s="49" t="s">
        <v>94</v>
      </c>
      <c r="I255" s="50">
        <f>Inp!I91</f>
        <v>30.465232772925084</v>
      </c>
      <c r="J255" s="50">
        <f>Inp!J91</f>
        <v>31.77064714727495</v>
      </c>
      <c r="K255" s="50">
        <f>Inp!K91</f>
        <v>29.477279849576934</v>
      </c>
      <c r="L255" s="50">
        <f>Inp!L91</f>
        <v>29.5</v>
      </c>
      <c r="M255" s="50">
        <f>Inp!M91</f>
        <v>29.5</v>
      </c>
      <c r="N255" s="50">
        <f>Inp!N91</f>
        <v>29.5</v>
      </c>
      <c r="O255" s="50">
        <f>Inp!O91</f>
        <v>29.5</v>
      </c>
      <c r="P255" s="50">
        <f>Inp!P91</f>
        <v>29.5</v>
      </c>
      <c r="Q255" s="189" t="str">
        <f t="shared" ref="Q255:Q259" ca="1" si="150">_xlfn.FORMULATEXT(L255)</f>
        <v>=Inp!L91</v>
      </c>
    </row>
    <row r="256" spans="3:17">
      <c r="D256" t="s">
        <v>26</v>
      </c>
      <c r="E256" s="49" t="s">
        <v>94</v>
      </c>
      <c r="I256" s="50">
        <f>Inp!I92</f>
        <v>84.858159123641599</v>
      </c>
      <c r="J256" s="50">
        <f>Inp!J92</f>
        <v>89.646128064226986</v>
      </c>
      <c r="K256" s="50">
        <f>Inp!K92</f>
        <v>90.016996557659198</v>
      </c>
      <c r="L256" s="50">
        <f>Inp!L92</f>
        <v>90</v>
      </c>
      <c r="M256" s="50">
        <f>Inp!M92</f>
        <v>90</v>
      </c>
      <c r="N256" s="50">
        <f>Inp!N92</f>
        <v>90</v>
      </c>
      <c r="O256" s="50">
        <f>Inp!O92</f>
        <v>90</v>
      </c>
      <c r="P256" s="50">
        <f>Inp!P92</f>
        <v>90</v>
      </c>
      <c r="Q256" s="189" t="str">
        <f t="shared" ca="1" si="150"/>
        <v>=Inp!L92</v>
      </c>
    </row>
    <row r="257" spans="2:17">
      <c r="D257" t="s">
        <v>92</v>
      </c>
      <c r="E257" s="49" t="s">
        <v>94</v>
      </c>
      <c r="I257" s="50">
        <f>Inp!I93</f>
        <v>8.1879282503382349</v>
      </c>
      <c r="J257" s="50">
        <f>Inp!J93</f>
        <v>8.6772672356677969</v>
      </c>
      <c r="K257" s="50">
        <f>Inp!K93</f>
        <v>8.5699225473321849</v>
      </c>
      <c r="L257" s="50">
        <f>Inp!L93</f>
        <v>8.6</v>
      </c>
      <c r="M257" s="50">
        <f>Inp!M93</f>
        <v>8.6</v>
      </c>
      <c r="N257" s="50">
        <f>Inp!N93</f>
        <v>8.6</v>
      </c>
      <c r="O257" s="50">
        <f>Inp!O93</f>
        <v>8.6</v>
      </c>
      <c r="P257" s="50">
        <f>Inp!P93</f>
        <v>8.6</v>
      </c>
      <c r="Q257" s="189" t="str">
        <f t="shared" ca="1" si="150"/>
        <v>=Inp!L93</v>
      </c>
    </row>
    <row r="258" spans="2:17">
      <c r="D258" t="s">
        <v>34</v>
      </c>
      <c r="E258" s="49" t="s">
        <v>94</v>
      </c>
      <c r="I258" s="50">
        <f>Inp!I94</f>
        <v>87.136123597957479</v>
      </c>
      <c r="J258" s="50">
        <f>Inp!J94</f>
        <v>96.502591683230037</v>
      </c>
      <c r="K258" s="50">
        <f>Inp!K94</f>
        <v>85.344879518072275</v>
      </c>
      <c r="L258" s="50">
        <f>Inp!L94</f>
        <v>85.3</v>
      </c>
      <c r="M258" s="50">
        <f>Inp!M94</f>
        <v>85.3</v>
      </c>
      <c r="N258" s="50">
        <f>Inp!N94</f>
        <v>85.3</v>
      </c>
      <c r="O258" s="50">
        <f>Inp!O94</f>
        <v>85.3</v>
      </c>
      <c r="P258" s="50">
        <f>Inp!P94</f>
        <v>85.3</v>
      </c>
      <c r="Q258" s="189" t="str">
        <f t="shared" ca="1" si="150"/>
        <v>=Inp!L94</v>
      </c>
    </row>
    <row r="259" spans="2:17">
      <c r="D259" t="s">
        <v>93</v>
      </c>
      <c r="E259" s="49" t="s">
        <v>94</v>
      </c>
      <c r="I259" s="50">
        <f>Inp!I95</f>
        <v>32.911011216340071</v>
      </c>
      <c r="J259" s="50">
        <f>Inp!J95</f>
        <v>35.349195214154882</v>
      </c>
      <c r="K259" s="50">
        <f>Inp!K95</f>
        <v>34.935886402753873</v>
      </c>
      <c r="L259" s="50">
        <f>Inp!L95</f>
        <v>34.9</v>
      </c>
      <c r="M259" s="50">
        <f>Inp!M95</f>
        <v>34.9</v>
      </c>
      <c r="N259" s="50">
        <f>Inp!N95</f>
        <v>34.9</v>
      </c>
      <c r="O259" s="50">
        <f>Inp!O95</f>
        <v>34.9</v>
      </c>
      <c r="P259" s="50">
        <f>Inp!P95</f>
        <v>34.9</v>
      </c>
      <c r="Q259" s="189" t="str">
        <f t="shared" ca="1" si="150"/>
        <v>=Inp!L95</v>
      </c>
    </row>
    <row r="260" spans="2:17">
      <c r="Q260" s="189"/>
    </row>
    <row r="261" spans="2:17" ht="13.25" thickBot="1">
      <c r="B261" s="36" t="s">
        <v>139</v>
      </c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189"/>
    </row>
    <row r="262" spans="2:17">
      <c r="C262" s="38" t="s">
        <v>180</v>
      </c>
      <c r="Q262" s="189"/>
    </row>
    <row r="263" spans="2:17">
      <c r="D263" t="s">
        <v>140</v>
      </c>
      <c r="E263" s="49" t="s">
        <v>212</v>
      </c>
      <c r="L263">
        <f>K265</f>
        <v>346.40000000000003</v>
      </c>
      <c r="M263">
        <f t="shared" ref="M263:P263" si="151">L265</f>
        <v>266.40000000000003</v>
      </c>
      <c r="N263">
        <f t="shared" si="151"/>
        <v>226.40000000000003</v>
      </c>
      <c r="O263">
        <f t="shared" si="151"/>
        <v>206.40000000000003</v>
      </c>
      <c r="P263">
        <f t="shared" si="151"/>
        <v>186.40000000000003</v>
      </c>
      <c r="Q263" s="189" t="str">
        <f t="shared" ref="Q263:Q265" ca="1" si="152">_xlfn.FORMULATEXT(L263)</f>
        <v>=K265</v>
      </c>
    </row>
    <row r="264" spans="2:17">
      <c r="D264" t="s">
        <v>142</v>
      </c>
      <c r="E264" s="49" t="s">
        <v>212</v>
      </c>
      <c r="L264" s="183">
        <f>Inp!L124</f>
        <v>-80</v>
      </c>
      <c r="M264" s="183">
        <f>Inp!M124</f>
        <v>-40</v>
      </c>
      <c r="N264" s="183">
        <f>Inp!N124</f>
        <v>-20</v>
      </c>
      <c r="O264" s="183">
        <f>Inp!O124</f>
        <v>-20</v>
      </c>
      <c r="P264" s="183">
        <f>Inp!P124</f>
        <v>-20</v>
      </c>
      <c r="Q264" s="189" t="str">
        <f t="shared" ca="1" si="152"/>
        <v>=Inp!L124</v>
      </c>
    </row>
    <row r="265" spans="2:17" s="29" customFormat="1">
      <c r="D265" s="29" t="s">
        <v>141</v>
      </c>
      <c r="E265" s="80" t="s">
        <v>212</v>
      </c>
      <c r="K265" s="59">
        <f>K112</f>
        <v>346.40000000000003</v>
      </c>
      <c r="L265" s="29">
        <f>SUM(L263:L264)</f>
        <v>266.40000000000003</v>
      </c>
      <c r="M265" s="29">
        <f t="shared" ref="M265:P265" si="153">SUM(M263:M264)</f>
        <v>226.40000000000003</v>
      </c>
      <c r="N265" s="29">
        <f t="shared" si="153"/>
        <v>206.40000000000003</v>
      </c>
      <c r="O265" s="29">
        <f t="shared" si="153"/>
        <v>186.40000000000003</v>
      </c>
      <c r="P265" s="29">
        <f t="shared" si="153"/>
        <v>166.40000000000003</v>
      </c>
      <c r="Q265" s="189" t="str">
        <f t="shared" ca="1" si="152"/>
        <v>=SUM(L263:L264)</v>
      </c>
    </row>
    <row r="266" spans="2:17" ht="6.95" customHeight="1">
      <c r="F266" s="29"/>
      <c r="Q266" s="189"/>
    </row>
    <row r="267" spans="2:17">
      <c r="D267" t="str">
        <f>Inp!D127</f>
        <v>Dividend Pay-out Ratio</v>
      </c>
      <c r="E267" s="49" t="s">
        <v>79</v>
      </c>
      <c r="F267" s="29"/>
      <c r="L267" s="51">
        <f>Inp!L127</f>
        <v>0.25</v>
      </c>
      <c r="M267" s="51">
        <f>Inp!M127</f>
        <v>0.25</v>
      </c>
      <c r="N267" s="51">
        <f>Inp!N127</f>
        <v>0.25</v>
      </c>
      <c r="O267" s="51">
        <f>Inp!O127</f>
        <v>0.25</v>
      </c>
      <c r="P267" s="51">
        <f>Inp!P127</f>
        <v>0.25</v>
      </c>
      <c r="Q267" s="189" t="str">
        <f ca="1">_xlfn.FORMULATEXT(L267)</f>
        <v>=Inp!L127</v>
      </c>
    </row>
    <row r="268" spans="2:17" ht="5.2" customHeight="1">
      <c r="F268" s="29"/>
      <c r="Q268" s="189"/>
    </row>
    <row r="269" spans="2:17">
      <c r="D269" t="s">
        <v>267</v>
      </c>
      <c r="F269" s="29"/>
      <c r="L269">
        <f ca="1">MAX(0,L267*L32)</f>
        <v>43.753034821720661</v>
      </c>
      <c r="M269">
        <f ca="1">MAX(0,M267*M32)</f>
        <v>39.965898648204544</v>
      </c>
      <c r="N269">
        <f ca="1">MAX(0,N267*N32)</f>
        <v>33.810434877638222</v>
      </c>
      <c r="O269">
        <f ca="1">MAX(0,O267*O32)</f>
        <v>7.6020168108857487</v>
      </c>
      <c r="P269">
        <f ca="1">MAX(0,P267*P32)</f>
        <v>0</v>
      </c>
      <c r="Q269" s="189"/>
    </row>
    <row r="270" spans="2:17" ht="5.2" customHeight="1">
      <c r="F270" s="29"/>
      <c r="Q270" s="189"/>
    </row>
    <row r="271" spans="2:17">
      <c r="C271" s="38" t="s">
        <v>262</v>
      </c>
      <c r="F271" s="29"/>
      <c r="Q271" s="189"/>
    </row>
    <row r="272" spans="2:17">
      <c r="D272" t="s">
        <v>140</v>
      </c>
      <c r="E272" s="49" t="s">
        <v>212</v>
      </c>
      <c r="F272" s="29"/>
      <c r="L272">
        <f>K274</f>
        <v>6.4</v>
      </c>
      <c r="M272">
        <f t="shared" ref="M272" si="154">L274</f>
        <v>6.4</v>
      </c>
      <c r="N272">
        <f t="shared" ref="N272" si="155">M274</f>
        <v>126.4</v>
      </c>
      <c r="O272">
        <f t="shared" ref="O272" si="156">N274</f>
        <v>226.4</v>
      </c>
      <c r="P272">
        <f t="shared" ref="P272" si="157">O274</f>
        <v>326.39999999999998</v>
      </c>
      <c r="Q272" s="189" t="str">
        <f t="shared" ref="Q272:Q274" ca="1" si="158">_xlfn.FORMULATEXT(L272)</f>
        <v>=K274</v>
      </c>
    </row>
    <row r="273" spans="2:17">
      <c r="D273" t="s">
        <v>142</v>
      </c>
      <c r="E273" s="49" t="s">
        <v>212</v>
      </c>
      <c r="F273" s="29"/>
      <c r="L273">
        <f>Inp!L130</f>
        <v>0</v>
      </c>
      <c r="M273">
        <f>Inp!M130</f>
        <v>120</v>
      </c>
      <c r="N273">
        <f>Inp!N130</f>
        <v>100</v>
      </c>
      <c r="O273">
        <f>Inp!O130</f>
        <v>100</v>
      </c>
      <c r="P273">
        <f>Inp!P130</f>
        <v>100</v>
      </c>
      <c r="Q273" s="189" t="str">
        <f t="shared" ca="1" si="158"/>
        <v>=Inp!L130</v>
      </c>
    </row>
    <row r="274" spans="2:17">
      <c r="D274" s="29" t="s">
        <v>141</v>
      </c>
      <c r="E274" s="49" t="s">
        <v>212</v>
      </c>
      <c r="F274" s="29"/>
      <c r="K274" s="50">
        <f>Hist!I117</f>
        <v>6.4</v>
      </c>
      <c r="L274" s="29">
        <f>SUM(L272:L273)</f>
        <v>6.4</v>
      </c>
      <c r="M274" s="29">
        <f t="shared" ref="M274:P274" si="159">SUM(M272:M273)</f>
        <v>126.4</v>
      </c>
      <c r="N274" s="29">
        <f t="shared" si="159"/>
        <v>226.4</v>
      </c>
      <c r="O274" s="29">
        <f t="shared" si="159"/>
        <v>326.39999999999998</v>
      </c>
      <c r="P274" s="29">
        <f t="shared" si="159"/>
        <v>426.4</v>
      </c>
      <c r="Q274" s="189" t="str">
        <f t="shared" ca="1" si="158"/>
        <v>=SUM(L272:L273)</v>
      </c>
    </row>
    <row r="275" spans="2:17" ht="5.5" customHeight="1">
      <c r="F275" s="29"/>
      <c r="Q275" s="189"/>
    </row>
    <row r="276" spans="2:17">
      <c r="D276" t="s">
        <v>263</v>
      </c>
      <c r="E276" s="49" t="s">
        <v>79</v>
      </c>
      <c r="F276" s="29"/>
      <c r="L276" s="51">
        <f>Inp!L131</f>
        <v>8.5000000000000006E-2</v>
      </c>
      <c r="M276" s="51">
        <f>Inp!M131</f>
        <v>8.5000000000000006E-2</v>
      </c>
      <c r="N276" s="51">
        <f>Inp!N131</f>
        <v>8.5000000000000006E-2</v>
      </c>
      <c r="O276" s="51">
        <f>Inp!O131</f>
        <v>8.5000000000000006E-2</v>
      </c>
      <c r="P276" s="51">
        <f>Inp!P131</f>
        <v>8.5000000000000006E-2</v>
      </c>
      <c r="Q276" s="189" t="str">
        <f t="shared" ref="Q276:Q279" ca="1" si="160">_xlfn.FORMULATEXT(L276)</f>
        <v>=Inp!L131</v>
      </c>
    </row>
    <row r="278" spans="2:17">
      <c r="D278" t="s">
        <v>264</v>
      </c>
      <c r="E278" s="49" t="s">
        <v>212</v>
      </c>
      <c r="F278" s="29"/>
      <c r="L278">
        <f>AVERAGE(K274:L274)*L276</f>
        <v>0.54400000000000004</v>
      </c>
      <c r="M278">
        <f>AVERAGE(L274:M274)*M276</f>
        <v>5.644000000000001</v>
      </c>
      <c r="N278">
        <f>AVERAGE(M274:N274)*N276</f>
        <v>14.994000000000002</v>
      </c>
      <c r="O278">
        <f>AVERAGE(N274:O274)*O276</f>
        <v>23.494</v>
      </c>
      <c r="P278">
        <f>AVERAGE(O274:P274)*P276</f>
        <v>31.994</v>
      </c>
      <c r="Q278" s="189" t="str">
        <f t="shared" ref="Q278" ca="1" si="161">_xlfn.FORMULATEXT(L278)</f>
        <v>=AVERAGE(K274:L274)*L276</v>
      </c>
    </row>
    <row r="279" spans="2:17" s="29" customFormat="1">
      <c r="D279" s="29" t="s">
        <v>260</v>
      </c>
      <c r="E279" s="80" t="s">
        <v>212</v>
      </c>
      <c r="L279" s="29">
        <f>SUM(L278:L278)</f>
        <v>0.54400000000000004</v>
      </c>
      <c r="M279" s="29">
        <f>SUM(M278:M278)</f>
        <v>5.644000000000001</v>
      </c>
      <c r="N279" s="29">
        <f>SUM(N278:N278)</f>
        <v>14.994000000000002</v>
      </c>
      <c r="O279" s="29">
        <f>SUM(O278:O278)</f>
        <v>23.494</v>
      </c>
      <c r="P279" s="29">
        <f>SUM(P278:P278)</f>
        <v>31.994</v>
      </c>
      <c r="Q279" s="189" t="str">
        <f t="shared" ca="1" si="160"/>
        <v>=SUM(L278:L278)</v>
      </c>
    </row>
    <row r="280" spans="2:17" ht="5.2" customHeight="1">
      <c r="F280" s="29"/>
      <c r="Q280" s="189"/>
    </row>
    <row r="281" spans="2:17">
      <c r="C281" s="38" t="s">
        <v>39</v>
      </c>
      <c r="F281" s="29"/>
      <c r="Q281" s="189"/>
    </row>
    <row r="282" spans="2:17">
      <c r="D282" t="s">
        <v>140</v>
      </c>
      <c r="E282" s="49" t="s">
        <v>212</v>
      </c>
      <c r="L282">
        <f>K285</f>
        <v>-395.23199999999997</v>
      </c>
      <c r="M282">
        <f t="shared" ref="M282:P282" ca="1" si="162">L285</f>
        <v>-264.516895534838</v>
      </c>
      <c r="N282">
        <f t="shared" ca="1" si="162"/>
        <v>-150.26319959022436</v>
      </c>
      <c r="O282">
        <f t="shared" ca="1" si="162"/>
        <v>-63.825894957309693</v>
      </c>
      <c r="P282">
        <f t="shared" ca="1" si="162"/>
        <v>-64.513844524652455</v>
      </c>
      <c r="Q282" s="189" t="str">
        <f t="shared" ref="Q282:Q285" ca="1" si="163">_xlfn.FORMULATEXT(L282)</f>
        <v>=K285</v>
      </c>
    </row>
    <row r="283" spans="2:17">
      <c r="D283" t="s">
        <v>143</v>
      </c>
      <c r="E283" s="49" t="s">
        <v>212</v>
      </c>
      <c r="L283">
        <f ca="1">L32</f>
        <v>175.01213928688264</v>
      </c>
      <c r="M283">
        <f ca="1">M32</f>
        <v>159.86359459281817</v>
      </c>
      <c r="N283">
        <f ca="1">N32</f>
        <v>135.24173951055289</v>
      </c>
      <c r="O283">
        <f ca="1">O32</f>
        <v>30.408067243542995</v>
      </c>
      <c r="P283">
        <f ca="1">P32</f>
        <v>-40.202445897023182</v>
      </c>
      <c r="Q283" s="189" t="str">
        <f t="shared" ca="1" si="163"/>
        <v>=L32</v>
      </c>
    </row>
    <row r="284" spans="2:17">
      <c r="D284" t="s">
        <v>144</v>
      </c>
      <c r="E284" s="49" t="s">
        <v>212</v>
      </c>
      <c r="L284">
        <f ca="1">L279+L269</f>
        <v>44.297034821720658</v>
      </c>
      <c r="M284">
        <f ca="1">M279+M269</f>
        <v>45.609898648204542</v>
      </c>
      <c r="N284">
        <f ca="1">N279+N269</f>
        <v>48.804434877638222</v>
      </c>
      <c r="O284">
        <f ca="1">O279+O269</f>
        <v>31.09601681088575</v>
      </c>
      <c r="P284">
        <f ca="1">P279+P269</f>
        <v>31.994</v>
      </c>
      <c r="Q284" s="189" t="str">
        <f t="shared" ca="1" si="163"/>
        <v>=L279+L269</v>
      </c>
    </row>
    <row r="285" spans="2:17" s="29" customFormat="1">
      <c r="D285" s="29" t="s">
        <v>141</v>
      </c>
      <c r="E285" s="49" t="s">
        <v>212</v>
      </c>
      <c r="K285" s="29">
        <f>K113</f>
        <v>-395.23199999999997</v>
      </c>
      <c r="L285" s="29">
        <f ca="1">L282+L283-L284</f>
        <v>-264.516895534838</v>
      </c>
      <c r="M285" s="29">
        <f t="shared" ref="M285:P285" ca="1" si="164">M282+M283-M284</f>
        <v>-150.26319959022436</v>
      </c>
      <c r="N285" s="29">
        <f t="shared" ca="1" si="164"/>
        <v>-63.825894957309693</v>
      </c>
      <c r="O285" s="29">
        <f t="shared" ca="1" si="164"/>
        <v>-64.513844524652455</v>
      </c>
      <c r="P285" s="29">
        <f t="shared" ca="1" si="164"/>
        <v>-136.71029042167564</v>
      </c>
      <c r="Q285" s="189" t="str">
        <f t="shared" ca="1" si="163"/>
        <v>=L282+L283-L284</v>
      </c>
    </row>
    <row r="286" spans="2:17" ht="7.5" customHeight="1">
      <c r="Q286" s="189"/>
    </row>
    <row r="287" spans="2:17" ht="7.5" customHeight="1">
      <c r="Q287" s="189"/>
    </row>
    <row r="288" spans="2:17" ht="13.25" thickBot="1">
      <c r="B288" s="36" t="s">
        <v>145</v>
      </c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189"/>
    </row>
    <row r="289" spans="3:17" ht="8.25" customHeight="1">
      <c r="Q289" s="189"/>
    </row>
    <row r="290" spans="3:17">
      <c r="C290" s="38" t="s">
        <v>146</v>
      </c>
      <c r="Q290" s="189"/>
    </row>
    <row r="291" spans="3:17">
      <c r="D291" t="str">
        <f>Inp!D108</f>
        <v>Excess Cash</v>
      </c>
      <c r="E291" s="49" t="s">
        <v>79</v>
      </c>
      <c r="L291" s="186">
        <f>Inp!L108</f>
        <v>0.01</v>
      </c>
      <c r="M291" s="186">
        <f>Inp!M108</f>
        <v>0.01</v>
      </c>
      <c r="N291" s="186">
        <f>Inp!N108</f>
        <v>0.01</v>
      </c>
      <c r="O291" s="186">
        <f>Inp!O108</f>
        <v>0.01</v>
      </c>
      <c r="P291" s="186">
        <f>Inp!P108</f>
        <v>0.01</v>
      </c>
      <c r="Q291" s="189" t="str">
        <f t="shared" ref="Q291:Q297" ca="1" si="165">_xlfn.FORMULATEXT(L291)</f>
        <v>=Inp!L108</v>
      </c>
    </row>
    <row r="292" spans="3:17">
      <c r="D292" t="str">
        <f>Inp!D109</f>
        <v>Fixed Rate Senior Secured Debt</v>
      </c>
      <c r="E292" s="49" t="s">
        <v>79</v>
      </c>
      <c r="L292" s="186">
        <f>Inp!L109</f>
        <v>5.2499999999999998E-2</v>
      </c>
      <c r="M292" s="186">
        <f>Inp!M109</f>
        <v>5.2499999999999998E-2</v>
      </c>
      <c r="N292" s="186">
        <f>Inp!N109</f>
        <v>5.2499999999999998E-2</v>
      </c>
      <c r="O292" s="186">
        <f>Inp!O109</f>
        <v>5.2499999999999998E-2</v>
      </c>
      <c r="P292" s="186">
        <f>Inp!P109</f>
        <v>5.2499999999999998E-2</v>
      </c>
      <c r="Q292" s="189" t="str">
        <f t="shared" ca="1" si="165"/>
        <v>=Inp!L109</v>
      </c>
    </row>
    <row r="293" spans="3:17">
      <c r="D293" t="str">
        <f>Inp!D110</f>
        <v>Revolver</v>
      </c>
      <c r="E293" s="49" t="s">
        <v>79</v>
      </c>
      <c r="L293" s="186">
        <f>Inp!L110</f>
        <v>5.2499999999999998E-2</v>
      </c>
      <c r="M293" s="186">
        <f>Inp!M110</f>
        <v>5.2499999999999998E-2</v>
      </c>
      <c r="N293" s="186">
        <f>Inp!N110</f>
        <v>5.2499999999999998E-2</v>
      </c>
      <c r="O293" s="186">
        <f>Inp!O110</f>
        <v>5.2499999999999998E-2</v>
      </c>
      <c r="P293" s="186">
        <f>Inp!P110</f>
        <v>5.2499999999999998E-2</v>
      </c>
      <c r="Q293" s="189" t="str">
        <f t="shared" ca="1" si="165"/>
        <v>=Inp!L110</v>
      </c>
    </row>
    <row r="294" spans="3:17">
      <c r="L294" s="190"/>
      <c r="M294" s="190"/>
      <c r="N294" s="190"/>
      <c r="O294" s="190"/>
      <c r="P294" s="190"/>
    </row>
    <row r="295" spans="3:17">
      <c r="D295" t="s">
        <v>229</v>
      </c>
      <c r="E295" s="49" t="s">
        <v>79</v>
      </c>
      <c r="L295" s="186">
        <f>Inp!L112</f>
        <v>1.0999999999999999E-2</v>
      </c>
      <c r="M295" s="186">
        <f>Inp!M112</f>
        <v>1.0999999999999999E-2</v>
      </c>
      <c r="N295" s="186">
        <f>Inp!N112</f>
        <v>1.0999999999999999E-2</v>
      </c>
      <c r="O295" s="186">
        <f>Inp!O112</f>
        <v>1.0999999999999999E-2</v>
      </c>
      <c r="P295" s="186">
        <f>Inp!P112</f>
        <v>1.0999999999999999E-2</v>
      </c>
      <c r="Q295" s="189" t="str">
        <f t="shared" ca="1" si="165"/>
        <v>=Inp!L112</v>
      </c>
    </row>
    <row r="296" spans="3:17">
      <c r="D296" t="str">
        <f>Inp!D113</f>
        <v>Premium on Variable Rate Term Debt</v>
      </c>
      <c r="E296" s="49" t="s">
        <v>79</v>
      </c>
      <c r="L296" s="186">
        <f>Inp!L113</f>
        <v>2.2499999999999999E-2</v>
      </c>
      <c r="M296" s="186">
        <f>Inp!M113</f>
        <v>2.2499999999999999E-2</v>
      </c>
      <c r="N296" s="186">
        <f>Inp!N113</f>
        <v>2.2499999999999999E-2</v>
      </c>
      <c r="O296" s="186">
        <f>Inp!O113</f>
        <v>2.2499999999999999E-2</v>
      </c>
      <c r="P296" s="186">
        <f>Inp!P113</f>
        <v>2.2499999999999999E-2</v>
      </c>
      <c r="Q296" s="189" t="str">
        <f t="shared" ca="1" si="165"/>
        <v>=Inp!L113</v>
      </c>
    </row>
    <row r="297" spans="3:17" s="29" customFormat="1">
      <c r="D297" s="29" t="s">
        <v>184</v>
      </c>
      <c r="E297" s="49" t="s">
        <v>79</v>
      </c>
      <c r="L297" s="191">
        <f>SUM(L295:L296)</f>
        <v>3.3500000000000002E-2</v>
      </c>
      <c r="M297" s="191">
        <f t="shared" ref="M297:P297" si="166">SUM(M295:M296)</f>
        <v>3.3500000000000002E-2</v>
      </c>
      <c r="N297" s="191">
        <f t="shared" si="166"/>
        <v>3.3500000000000002E-2</v>
      </c>
      <c r="O297" s="191">
        <f t="shared" si="166"/>
        <v>3.3500000000000002E-2</v>
      </c>
      <c r="P297" s="191">
        <f t="shared" si="166"/>
        <v>3.3500000000000002E-2</v>
      </c>
      <c r="Q297" s="189" t="str">
        <f t="shared" ca="1" si="165"/>
        <v>=SUM(L295:L296)</v>
      </c>
    </row>
    <row r="298" spans="3:17" ht="5.5" customHeight="1">
      <c r="Q298" s="189"/>
    </row>
    <row r="299" spans="3:17">
      <c r="C299" s="38" t="s">
        <v>182</v>
      </c>
      <c r="Q299" s="189"/>
    </row>
    <row r="300" spans="3:17">
      <c r="D300" t="s">
        <v>140</v>
      </c>
      <c r="E300" s="49" t="s">
        <v>212</v>
      </c>
      <c r="L300">
        <f>K302</f>
        <v>896.59999999999991</v>
      </c>
      <c r="M300">
        <f t="shared" ref="M300:P300" si="167">L302</f>
        <v>746.59999999999991</v>
      </c>
      <c r="N300">
        <f t="shared" si="167"/>
        <v>596.59999999999991</v>
      </c>
      <c r="O300">
        <f t="shared" si="167"/>
        <v>446.59999999999991</v>
      </c>
      <c r="P300">
        <f t="shared" si="167"/>
        <v>296.59999999999991</v>
      </c>
      <c r="Q300" s="189" t="str">
        <f t="shared" ref="Q300:Q302" ca="1" si="168">_xlfn.FORMULATEXT(L300)</f>
        <v>=K302</v>
      </c>
    </row>
    <row r="301" spans="3:17">
      <c r="D301" t="s">
        <v>147</v>
      </c>
      <c r="E301" s="49" t="s">
        <v>212</v>
      </c>
      <c r="L301">
        <f>MIN(Inp!L116,L300)</f>
        <v>150</v>
      </c>
      <c r="M301">
        <f>MIN(Inp!M116,M300)</f>
        <v>150</v>
      </c>
      <c r="N301">
        <f>MIN(Inp!N116,N300)</f>
        <v>150</v>
      </c>
      <c r="O301">
        <f>MIN(Inp!O116,O300)</f>
        <v>150</v>
      </c>
      <c r="P301">
        <f>MIN(Inp!P116,P300)</f>
        <v>150</v>
      </c>
      <c r="Q301" s="189" t="str">
        <f t="shared" ca="1" si="168"/>
        <v>=MIN(Inp!L116,L300)</v>
      </c>
    </row>
    <row r="302" spans="3:17" s="29" customFormat="1">
      <c r="D302" s="29" t="s">
        <v>141</v>
      </c>
      <c r="E302" s="49" t="s">
        <v>212</v>
      </c>
      <c r="K302" s="59">
        <f>K105</f>
        <v>896.59999999999991</v>
      </c>
      <c r="L302" s="29">
        <f>L300-L301</f>
        <v>746.59999999999991</v>
      </c>
      <c r="M302" s="29">
        <f t="shared" ref="M302:P302" si="169">M300-M301</f>
        <v>596.59999999999991</v>
      </c>
      <c r="N302" s="29">
        <f t="shared" si="169"/>
        <v>446.59999999999991</v>
      </c>
      <c r="O302" s="29">
        <f t="shared" si="169"/>
        <v>296.59999999999991</v>
      </c>
      <c r="P302" s="29">
        <f t="shared" si="169"/>
        <v>146.59999999999991</v>
      </c>
      <c r="Q302" s="189" t="str">
        <f t="shared" ca="1" si="168"/>
        <v>=L300-L301</v>
      </c>
    </row>
    <row r="303" spans="3:17" ht="3.9" customHeight="1">
      <c r="Q303" s="189"/>
    </row>
    <row r="304" spans="3:17">
      <c r="D304" s="52" t="s">
        <v>186</v>
      </c>
      <c r="E304" s="76" t="s">
        <v>212</v>
      </c>
      <c r="F304" s="53"/>
      <c r="G304" s="53"/>
      <c r="H304" s="53"/>
      <c r="I304" s="53"/>
      <c r="J304" s="53"/>
      <c r="K304" s="53"/>
      <c r="L304" s="53">
        <f>AVERAGE(K302:L302)*L292</f>
        <v>43.133999999999993</v>
      </c>
      <c r="M304" s="53">
        <f>AVERAGE(L302:M302)*M292</f>
        <v>35.258999999999993</v>
      </c>
      <c r="N304" s="53">
        <f>AVERAGE(M302:N302)*N292</f>
        <v>27.383999999999993</v>
      </c>
      <c r="O304" s="53">
        <f>AVERAGE(N302:O302)*O292</f>
        <v>19.508999999999993</v>
      </c>
      <c r="P304" s="54">
        <f>AVERAGE(O302:P302)*P292</f>
        <v>11.633999999999995</v>
      </c>
      <c r="Q304" s="189" t="str">
        <f ca="1">_xlfn.FORMULATEXT(L304)</f>
        <v>=AVERAGE(K302:L302)*L292</v>
      </c>
    </row>
    <row r="305" spans="3:17" ht="3.6" customHeight="1">
      <c r="Q305" s="189"/>
    </row>
    <row r="306" spans="3:17">
      <c r="C306" s="38" t="s">
        <v>183</v>
      </c>
      <c r="Q306" s="189"/>
    </row>
    <row r="307" spans="3:17">
      <c r="D307" t="s">
        <v>140</v>
      </c>
      <c r="E307" s="49" t="s">
        <v>212</v>
      </c>
      <c r="L307">
        <f>K309</f>
        <v>250</v>
      </c>
      <c r="M307">
        <f t="shared" ref="M307" si="170">L309</f>
        <v>225</v>
      </c>
      <c r="N307">
        <f t="shared" ref="N307" si="171">M309</f>
        <v>200</v>
      </c>
      <c r="O307">
        <f t="shared" ref="O307" si="172">N309</f>
        <v>175</v>
      </c>
      <c r="P307">
        <f t="shared" ref="P307" si="173">O309</f>
        <v>150</v>
      </c>
      <c r="Q307" s="189" t="str">
        <f t="shared" ref="Q307:Q309" ca="1" si="174">_xlfn.FORMULATEXT(L307)</f>
        <v>=K309</v>
      </c>
    </row>
    <row r="308" spans="3:17">
      <c r="D308" t="s">
        <v>147</v>
      </c>
      <c r="E308" s="49" t="s">
        <v>212</v>
      </c>
      <c r="L308">
        <f>MIN(Inp!L117,L307)</f>
        <v>25</v>
      </c>
      <c r="M308">
        <f>MIN(Inp!M117,M307)</f>
        <v>25</v>
      </c>
      <c r="N308">
        <f>MIN(Inp!N117,N307)</f>
        <v>25</v>
      </c>
      <c r="O308">
        <f>MIN(Inp!O117,O307)</f>
        <v>25</v>
      </c>
      <c r="P308">
        <f>MIN(Inp!P117,P307)</f>
        <v>25</v>
      </c>
      <c r="Q308" s="189" t="str">
        <f t="shared" ca="1" si="174"/>
        <v>=MIN(Inp!L117,L307)</v>
      </c>
    </row>
    <row r="309" spans="3:17" s="29" customFormat="1">
      <c r="D309" s="29" t="s">
        <v>141</v>
      </c>
      <c r="E309" s="49" t="s">
        <v>212</v>
      </c>
      <c r="K309" s="59">
        <f>K104</f>
        <v>250</v>
      </c>
      <c r="L309" s="29">
        <f>L307-L308</f>
        <v>225</v>
      </c>
      <c r="M309" s="29">
        <f t="shared" ref="M309:P309" si="175">M307-M308</f>
        <v>200</v>
      </c>
      <c r="N309" s="29">
        <f t="shared" si="175"/>
        <v>175</v>
      </c>
      <c r="O309" s="29">
        <f t="shared" si="175"/>
        <v>150</v>
      </c>
      <c r="P309" s="29">
        <f t="shared" si="175"/>
        <v>125</v>
      </c>
      <c r="Q309" s="189" t="str">
        <f t="shared" ca="1" si="174"/>
        <v>=L307-L308</v>
      </c>
    </row>
    <row r="310" spans="3:17" ht="5.5" customHeight="1">
      <c r="Q310" s="189"/>
    </row>
    <row r="311" spans="3:17">
      <c r="D311" s="52" t="s">
        <v>187</v>
      </c>
      <c r="E311" s="76" t="s">
        <v>212</v>
      </c>
      <c r="F311" s="53"/>
      <c r="G311" s="53"/>
      <c r="H311" s="53"/>
      <c r="I311" s="53"/>
      <c r="J311" s="53"/>
      <c r="K311" s="53"/>
      <c r="L311" s="53">
        <f>AVERAGE(K309:L309)*L297</f>
        <v>7.9562500000000007</v>
      </c>
      <c r="M311" s="53">
        <f>AVERAGE(L309:M309)*M297</f>
        <v>7.1187500000000004</v>
      </c>
      <c r="N311" s="53">
        <f>AVERAGE(M309:N309)*N297</f>
        <v>6.28125</v>
      </c>
      <c r="O311" s="53">
        <f>AVERAGE(N309:O309)*O297</f>
        <v>5.4437500000000005</v>
      </c>
      <c r="P311" s="54">
        <f>AVERAGE(O309:P309)*P297</f>
        <v>4.6062500000000002</v>
      </c>
      <c r="Q311" s="189" t="str">
        <f ca="1">_xlfn.FORMULATEXT(L311)</f>
        <v>=AVERAGE(K309:L309)*L297</v>
      </c>
    </row>
    <row r="312" spans="3:17" ht="5.05" customHeight="1">
      <c r="Q312" s="189"/>
    </row>
    <row r="313" spans="3:17">
      <c r="C313" s="38" t="s">
        <v>100</v>
      </c>
      <c r="Q313" s="189"/>
    </row>
    <row r="314" spans="3:17">
      <c r="D314" t="s">
        <v>140</v>
      </c>
      <c r="E314" s="49" t="s">
        <v>212</v>
      </c>
      <c r="L314">
        <f>K316</f>
        <v>633.36800000000005</v>
      </c>
      <c r="M314">
        <f t="shared" ref="M314:P314" ca="1" si="176">L316</f>
        <v>0</v>
      </c>
      <c r="N314">
        <f t="shared" ca="1" si="176"/>
        <v>0</v>
      </c>
      <c r="O314">
        <f t="shared" ca="1" si="176"/>
        <v>0</v>
      </c>
      <c r="P314">
        <f t="shared" ca="1" si="176"/>
        <v>0</v>
      </c>
      <c r="Q314" s="189" t="str">
        <f t="shared" ref="Q314:Q316" ca="1" si="177">_xlfn.FORMULATEXT(L314)</f>
        <v>=K316</v>
      </c>
    </row>
    <row r="315" spans="3:17">
      <c r="D315" t="s">
        <v>148</v>
      </c>
      <c r="E315" s="49" t="s">
        <v>212</v>
      </c>
      <c r="L315">
        <f ca="1">L73</f>
        <v>-633.36799999999994</v>
      </c>
      <c r="M315">
        <f ca="1">M73</f>
        <v>0</v>
      </c>
      <c r="N315">
        <f ca="1">N73</f>
        <v>0</v>
      </c>
      <c r="O315">
        <f ca="1">O73</f>
        <v>0</v>
      </c>
      <c r="P315">
        <f ca="1">P73</f>
        <v>0</v>
      </c>
      <c r="Q315" s="189" t="str">
        <f t="shared" ca="1" si="177"/>
        <v>=L73</v>
      </c>
    </row>
    <row r="316" spans="3:17" s="29" customFormat="1">
      <c r="D316" s="29" t="s">
        <v>141</v>
      </c>
      <c r="E316" s="49" t="s">
        <v>212</v>
      </c>
      <c r="K316" s="59">
        <f>K82</f>
        <v>633.36800000000005</v>
      </c>
      <c r="L316" s="29">
        <f ca="1">SUM(L314:L315)</f>
        <v>0</v>
      </c>
      <c r="M316" s="29">
        <f t="shared" ref="M316:P316" ca="1" si="178">SUM(M314:M315)</f>
        <v>0</v>
      </c>
      <c r="N316" s="29">
        <f t="shared" ca="1" si="178"/>
        <v>0</v>
      </c>
      <c r="O316" s="29">
        <f t="shared" ca="1" si="178"/>
        <v>0</v>
      </c>
      <c r="P316" s="29">
        <f t="shared" ca="1" si="178"/>
        <v>0</v>
      </c>
      <c r="Q316" s="189" t="str">
        <f t="shared" ca="1" si="177"/>
        <v>=SUM(L314:L315)</v>
      </c>
    </row>
    <row r="317" spans="3:17" ht="5.2" customHeight="1">
      <c r="Q317" s="189"/>
    </row>
    <row r="318" spans="3:17">
      <c r="D318" s="52" t="s">
        <v>153</v>
      </c>
      <c r="E318" s="76" t="s">
        <v>212</v>
      </c>
      <c r="F318" s="53"/>
      <c r="G318" s="53"/>
      <c r="H318" s="53"/>
      <c r="I318" s="53"/>
      <c r="J318" s="53"/>
      <c r="K318" s="53"/>
      <c r="L318" s="53">
        <f ca="1">AVERAGE(K316:L316)*L291</f>
        <v>3.1668400000000005</v>
      </c>
      <c r="M318" s="53">
        <f ca="1">AVERAGE(L316:M316)*M291</f>
        <v>0</v>
      </c>
      <c r="N318" s="53">
        <f ca="1">AVERAGE(M316:N316)*N291</f>
        <v>0</v>
      </c>
      <c r="O318" s="53">
        <f ca="1">AVERAGE(N316:O316)*O291</f>
        <v>0</v>
      </c>
      <c r="P318" s="54">
        <f ca="1">AVERAGE(O316:P316)*P291</f>
        <v>0</v>
      </c>
      <c r="Q318" s="189" t="str">
        <f ca="1">_xlfn.FORMULATEXT(L318)</f>
        <v>=AVERAGE(K316:L316)*L291</v>
      </c>
    </row>
    <row r="319" spans="3:17" ht="4.3499999999999996" customHeight="1">
      <c r="Q319" s="189"/>
    </row>
    <row r="320" spans="3:17">
      <c r="Q320" s="189"/>
    </row>
    <row r="321" spans="3:17">
      <c r="C321" s="38" t="s">
        <v>101</v>
      </c>
      <c r="Q321" s="189"/>
    </row>
    <row r="322" spans="3:17">
      <c r="D322" t="str">
        <f>D54</f>
        <v>Operating Cash Flow</v>
      </c>
      <c r="E322" s="49" t="s">
        <v>212</v>
      </c>
      <c r="L322">
        <f ca="1">L54</f>
        <v>286.87056517364061</v>
      </c>
      <c r="M322">
        <f ca="1">M54</f>
        <v>292.87528650409064</v>
      </c>
      <c r="N322">
        <f ca="1">N54</f>
        <v>289.72730749749655</v>
      </c>
      <c r="O322">
        <f ca="1">O54</f>
        <v>217.22251355193148</v>
      </c>
      <c r="P322">
        <f ca="1">P54</f>
        <v>163.51166808799806</v>
      </c>
      <c r="Q322" s="189" t="str">
        <f t="shared" ref="Q322:Q329" ca="1" si="179">_xlfn.FORMULATEXT(L322)</f>
        <v>=L54</v>
      </c>
    </row>
    <row r="323" spans="3:17">
      <c r="D323" t="str">
        <f>D60</f>
        <v>Investing Cash Flow</v>
      </c>
      <c r="E323" s="49" t="s">
        <v>212</v>
      </c>
      <c r="L323">
        <f>L60</f>
        <v>-265</v>
      </c>
      <c r="M323">
        <f>M60</f>
        <v>-290</v>
      </c>
      <c r="N323">
        <f>N60</f>
        <v>-315</v>
      </c>
      <c r="O323">
        <f>O60</f>
        <v>-315</v>
      </c>
      <c r="P323">
        <f>P60</f>
        <v>-315</v>
      </c>
      <c r="Q323" s="189" t="str">
        <f t="shared" ca="1" si="179"/>
        <v>=L60</v>
      </c>
    </row>
    <row r="324" spans="3:17">
      <c r="D324" t="s">
        <v>185</v>
      </c>
      <c r="E324" s="49" t="s">
        <v>212</v>
      </c>
      <c r="L324">
        <f>L64+L65</f>
        <v>-175</v>
      </c>
      <c r="M324">
        <f>M64+M65</f>
        <v>-175</v>
      </c>
      <c r="N324">
        <f>N64+N65</f>
        <v>-175</v>
      </c>
      <c r="O324">
        <f>O64+O65</f>
        <v>-175</v>
      </c>
      <c r="P324">
        <f>P64+P65</f>
        <v>-175</v>
      </c>
      <c r="Q324" s="189" t="str">
        <f t="shared" ca="1" si="179"/>
        <v>=L64+L65</v>
      </c>
    </row>
    <row r="325" spans="3:17">
      <c r="D325" t="s">
        <v>188</v>
      </c>
      <c r="E325" s="49" t="s">
        <v>212</v>
      </c>
      <c r="L325">
        <f>L66+L67</f>
        <v>-80</v>
      </c>
      <c r="M325">
        <f>M66+M67</f>
        <v>80</v>
      </c>
      <c r="N325">
        <f>N66+N67</f>
        <v>80</v>
      </c>
      <c r="O325">
        <f>O66+O67</f>
        <v>80</v>
      </c>
      <c r="P325">
        <f>P66+P67</f>
        <v>80</v>
      </c>
      <c r="Q325" s="189" t="str">
        <f t="shared" ca="1" si="179"/>
        <v>=L66+L67</v>
      </c>
    </row>
    <row r="326" spans="3:17">
      <c r="D326" t="str">
        <f>D70</f>
        <v>Other</v>
      </c>
      <c r="E326" s="49" t="s">
        <v>212</v>
      </c>
      <c r="L326">
        <f>L70</f>
        <v>0</v>
      </c>
      <c r="M326">
        <f>M70</f>
        <v>0</v>
      </c>
      <c r="N326">
        <f>N70</f>
        <v>0</v>
      </c>
      <c r="O326">
        <f>O70</f>
        <v>0</v>
      </c>
      <c r="P326">
        <f>P70</f>
        <v>0</v>
      </c>
      <c r="Q326" s="189" t="str">
        <f t="shared" ca="1" si="179"/>
        <v>=L70</v>
      </c>
    </row>
    <row r="327" spans="3:17">
      <c r="D327" t="s">
        <v>144</v>
      </c>
      <c r="E327" s="49" t="s">
        <v>212</v>
      </c>
      <c r="L327" s="67">
        <f ca="1">L68+L69</f>
        <v>-44.297034821720658</v>
      </c>
      <c r="M327" s="67">
        <f ca="1">M68+M69</f>
        <v>-45.609898648204542</v>
      </c>
      <c r="N327" s="67">
        <f ca="1">N68+N69</f>
        <v>-48.804434877638222</v>
      </c>
      <c r="O327" s="67">
        <f ca="1">O68+O69</f>
        <v>-31.09601681088575</v>
      </c>
      <c r="P327" s="67">
        <f ca="1">P68+P69</f>
        <v>-31.994</v>
      </c>
      <c r="Q327" s="189" t="str">
        <f t="shared" ca="1" si="179"/>
        <v>=L68+L69</v>
      </c>
    </row>
    <row r="328" spans="3:17" s="29" customFormat="1">
      <c r="D328" s="29" t="s">
        <v>149</v>
      </c>
      <c r="E328" s="49" t="s">
        <v>212</v>
      </c>
      <c r="L328" s="29">
        <f ca="1">SUM(L322:L327)</f>
        <v>-277.42646964808006</v>
      </c>
      <c r="M328" s="29">
        <f ca="1">SUM(M322:M327)</f>
        <v>-137.7346121441139</v>
      </c>
      <c r="N328" s="29">
        <f ca="1">SUM(N322:N327)</f>
        <v>-169.07712738014166</v>
      </c>
      <c r="O328" s="29">
        <f ca="1">SUM(O322:O327)</f>
        <v>-223.87350325895429</v>
      </c>
      <c r="P328" s="29">
        <f ca="1">SUM(P322:P327)</f>
        <v>-278.482331912002</v>
      </c>
      <c r="Q328" s="189" t="str">
        <f t="shared" ca="1" si="179"/>
        <v>=SUM(L322:L327)</v>
      </c>
    </row>
    <row r="329" spans="3:17">
      <c r="D329" t="s">
        <v>195</v>
      </c>
      <c r="E329" s="49" t="s">
        <v>212</v>
      </c>
      <c r="L329">
        <f>Inp!L146</f>
        <v>0</v>
      </c>
      <c r="M329">
        <f>Inp!M146</f>
        <v>0</v>
      </c>
      <c r="N329">
        <f>Inp!N146</f>
        <v>0</v>
      </c>
      <c r="O329">
        <f>Inp!O146</f>
        <v>0</v>
      </c>
      <c r="P329">
        <f>Inp!P146</f>
        <v>0</v>
      </c>
      <c r="Q329" s="189" t="str">
        <f t="shared" ca="1" si="179"/>
        <v>=Inp!L146</v>
      </c>
    </row>
    <row r="330" spans="3:17">
      <c r="Q330" s="189"/>
    </row>
    <row r="331" spans="3:17">
      <c r="D331" t="s">
        <v>140</v>
      </c>
      <c r="E331" s="49" t="s">
        <v>212</v>
      </c>
      <c r="L331">
        <f>K333</f>
        <v>400</v>
      </c>
      <c r="M331">
        <f t="shared" ref="M331:P331" ca="1" si="180">L333</f>
        <v>44.058469648080006</v>
      </c>
      <c r="N331">
        <f t="shared" ca="1" si="180"/>
        <v>181.7930817921939</v>
      </c>
      <c r="O331">
        <f t="shared" ca="1" si="180"/>
        <v>350.87020917233554</v>
      </c>
      <c r="P331">
        <f t="shared" ca="1" si="180"/>
        <v>574.74371243128985</v>
      </c>
      <c r="Q331" s="189" t="str">
        <f t="shared" ref="Q331:Q333" ca="1" si="181">_xlfn.FORMULATEXT(L331)</f>
        <v>=K333</v>
      </c>
    </row>
    <row r="332" spans="3:17" ht="17.149999999999999" customHeight="1">
      <c r="D332" s="182" t="s">
        <v>150</v>
      </c>
      <c r="E332" s="49" t="s">
        <v>212</v>
      </c>
      <c r="L332">
        <f ca="1">-MIN(L331,L328+L314-L329)</f>
        <v>-355.94153035191999</v>
      </c>
      <c r="M332">
        <f t="shared" ref="M332:P332" ca="1" si="182">-MIN(M331,M328+M314-M329)</f>
        <v>137.7346121441139</v>
      </c>
      <c r="N332">
        <f t="shared" ca="1" si="182"/>
        <v>169.07712738014166</v>
      </c>
      <c r="O332">
        <f t="shared" ca="1" si="182"/>
        <v>223.87350325895429</v>
      </c>
      <c r="P332">
        <f t="shared" ca="1" si="182"/>
        <v>278.482331912002</v>
      </c>
      <c r="Q332" s="189" t="str">
        <f t="shared" ca="1" si="181"/>
        <v>=-MIN(L331,L328+L314-L329)</v>
      </c>
    </row>
    <row r="333" spans="3:17">
      <c r="D333" t="s">
        <v>141</v>
      </c>
      <c r="E333" s="49" t="s">
        <v>212</v>
      </c>
      <c r="K333" s="50">
        <f>K99</f>
        <v>400</v>
      </c>
      <c r="L333">
        <f ca="1">SUM(L331:L332)</f>
        <v>44.058469648080006</v>
      </c>
      <c r="M333">
        <f t="shared" ref="M333:P333" ca="1" si="183">SUM(M331:M332)</f>
        <v>181.7930817921939</v>
      </c>
      <c r="N333">
        <f t="shared" ca="1" si="183"/>
        <v>350.87020917233554</v>
      </c>
      <c r="O333">
        <f t="shared" ca="1" si="183"/>
        <v>574.74371243128985</v>
      </c>
      <c r="P333">
        <f t="shared" ca="1" si="183"/>
        <v>853.22604434329185</v>
      </c>
      <c r="Q333" s="189" t="str">
        <f t="shared" ca="1" si="181"/>
        <v>=SUM(L331:L332)</v>
      </c>
    </row>
    <row r="334" spans="3:17">
      <c r="Q334" s="189"/>
    </row>
    <row r="335" spans="3:17">
      <c r="D335" t="s">
        <v>151</v>
      </c>
      <c r="E335" s="49" t="s">
        <v>212</v>
      </c>
      <c r="L335">
        <f ca="1">AVERAGE(K333:L333)*L293</f>
        <v>11.6565348282621</v>
      </c>
      <c r="M335">
        <f ca="1">AVERAGE(L333:M333)*M293</f>
        <v>5.9286032253071896</v>
      </c>
      <c r="N335">
        <f ca="1">AVERAGE(M333:N333)*N293</f>
        <v>13.982411387818898</v>
      </c>
      <c r="O335">
        <f ca="1">AVERAGE(N333:O333)*O293</f>
        <v>24.297365442095167</v>
      </c>
      <c r="P335">
        <f ca="1">AVERAGE(O333:P333)*P293</f>
        <v>37.484206115332768</v>
      </c>
      <c r="Q335" s="189" t="str">
        <f ca="1">_xlfn.FORMULATEXT(L335)</f>
        <v>=AVERAGE(K333:L333)*L293</v>
      </c>
    </row>
    <row r="336" spans="3:17" ht="6.95" customHeight="1">
      <c r="Q336" s="189"/>
    </row>
    <row r="337" spans="3:17">
      <c r="C337" s="38" t="s">
        <v>152</v>
      </c>
      <c r="Q337" s="189"/>
    </row>
    <row r="338" spans="3:17">
      <c r="D338" t="str">
        <f>D304</f>
        <v>Interest Expense on Fixed Rate Debt</v>
      </c>
      <c r="E338" s="49" t="s">
        <v>212</v>
      </c>
      <c r="L338">
        <f>L304</f>
        <v>43.133999999999993</v>
      </c>
      <c r="M338">
        <f>M304</f>
        <v>35.258999999999993</v>
      </c>
      <c r="N338">
        <f>N304</f>
        <v>27.383999999999993</v>
      </c>
      <c r="O338">
        <f>O304</f>
        <v>19.508999999999993</v>
      </c>
      <c r="P338">
        <f>P304</f>
        <v>11.633999999999995</v>
      </c>
      <c r="Q338" s="189" t="str">
        <f t="shared" ref="Q338:Q342" ca="1" si="184">_xlfn.FORMULATEXT(L338)</f>
        <v>=L304</v>
      </c>
    </row>
    <row r="339" spans="3:17">
      <c r="D339" t="str">
        <f>D311</f>
        <v>Interest Expense on Variable Rate Debt</v>
      </c>
      <c r="E339" s="49" t="s">
        <v>212</v>
      </c>
      <c r="L339">
        <f>L311</f>
        <v>7.9562500000000007</v>
      </c>
      <c r="M339">
        <f>M311</f>
        <v>7.1187500000000004</v>
      </c>
      <c r="N339">
        <f>N311</f>
        <v>6.28125</v>
      </c>
      <c r="O339">
        <f>O311</f>
        <v>5.4437500000000005</v>
      </c>
      <c r="P339">
        <f>P311</f>
        <v>4.6062500000000002</v>
      </c>
      <c r="Q339" s="189" t="str">
        <f t="shared" ca="1" si="184"/>
        <v>=L311</v>
      </c>
    </row>
    <row r="340" spans="3:17">
      <c r="D340" t="str">
        <f>D335</f>
        <v>Interest Expense on Revolver</v>
      </c>
      <c r="E340" s="49" t="s">
        <v>212</v>
      </c>
      <c r="L340">
        <f t="shared" ref="L340:P340" ca="1" si="185">L335</f>
        <v>11.6565348282621</v>
      </c>
      <c r="M340">
        <f t="shared" ca="1" si="185"/>
        <v>5.9286032253071896</v>
      </c>
      <c r="N340">
        <f t="shared" ca="1" si="185"/>
        <v>13.982411387818898</v>
      </c>
      <c r="O340">
        <f t="shared" ca="1" si="185"/>
        <v>24.297365442095167</v>
      </c>
      <c r="P340">
        <f t="shared" ca="1" si="185"/>
        <v>37.484206115332768</v>
      </c>
      <c r="Q340" s="189" t="str">
        <f t="shared" ca="1" si="184"/>
        <v>=L335</v>
      </c>
    </row>
    <row r="341" spans="3:17">
      <c r="D341" t="str">
        <f>D318</f>
        <v>Interest Income on Excess Cash</v>
      </c>
      <c r="E341" s="49" t="s">
        <v>212</v>
      </c>
      <c r="L341">
        <f ca="1">L318</f>
        <v>3.1668400000000005</v>
      </c>
      <c r="M341">
        <f t="shared" ref="M341:P341" ca="1" si="186">M318</f>
        <v>0</v>
      </c>
      <c r="N341">
        <f t="shared" ca="1" si="186"/>
        <v>0</v>
      </c>
      <c r="O341">
        <f t="shared" ca="1" si="186"/>
        <v>0</v>
      </c>
      <c r="P341">
        <f t="shared" ca="1" si="186"/>
        <v>0</v>
      </c>
      <c r="Q341" s="189" t="str">
        <f t="shared" ca="1" si="184"/>
        <v>=L318</v>
      </c>
    </row>
    <row r="342" spans="3:17" s="29" customFormat="1">
      <c r="D342" s="71" t="s">
        <v>155</v>
      </c>
      <c r="E342" s="81" t="s">
        <v>212</v>
      </c>
      <c r="F342" s="72"/>
      <c r="G342" s="72"/>
      <c r="H342" s="72"/>
      <c r="I342" s="72"/>
      <c r="J342" s="72"/>
      <c r="K342" s="72"/>
      <c r="L342" s="72">
        <f ca="1">L338+L339+L340-L341</f>
        <v>59.579944828262093</v>
      </c>
      <c r="M342" s="72">
        <f t="shared" ref="M342:P342" ca="1" si="187">M338+M339+M340-M341</f>
        <v>48.306353225307184</v>
      </c>
      <c r="N342" s="72">
        <f t="shared" ca="1" si="187"/>
        <v>47.647661387818893</v>
      </c>
      <c r="O342" s="72">
        <f t="shared" ca="1" si="187"/>
        <v>49.250115442095165</v>
      </c>
      <c r="P342" s="72">
        <f t="shared" ca="1" si="187"/>
        <v>53.724456115332764</v>
      </c>
      <c r="Q342" s="189" t="str">
        <f t="shared" ca="1" si="184"/>
        <v>=L338+L339+L340-L341</v>
      </c>
    </row>
  </sheetData>
  <mergeCells count="2">
    <mergeCell ref="I3:J3"/>
    <mergeCell ref="K3:L3"/>
  </mergeCells>
  <conditionalFormatting sqref="I3:J3">
    <cfRule type="expression" dxfId="0" priority="1">
      <formula>BSCheck&lt;&gt;0</formula>
    </cfRule>
  </conditionalFormatting>
  <printOptions headings="1"/>
  <pageMargins left="0.51181102362204722" right="0.51181102362204722" top="0.35433070866141736" bottom="0.55118110236220474" header="0.31496062992125984" footer="0.31496062992125984"/>
  <pageSetup scale="75" fitToHeight="0" orientation="landscape" r:id="rId1"/>
  <headerFooter>
    <oddFooter>&amp;LCTD Industries
Printed on: &amp;D @ &amp;T&amp;CPage &amp;P of &amp;N&amp;RSheet Name: &amp;A
File Name: &amp;F</oddFooter>
  </headerFooter>
  <rowBreaks count="6" manualBreakCount="6">
    <brk id="43" max="16383" man="1"/>
    <brk id="76" max="16383" man="1"/>
    <brk id="120" max="16383" man="1"/>
    <brk id="163" max="16383" man="1"/>
    <brk id="260" max="16383" man="1"/>
    <brk id="319" max="16383" man="1"/>
  </rowBreaks>
  <colBreaks count="1" manualBreakCount="1">
    <brk id="3" max="1048575" man="1"/>
  </colBreaks>
  <ignoredErrors>
    <ignoredError sqref="L326:P32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72A69AB9064D95049B970FA150B6" ma:contentTypeVersion="11" ma:contentTypeDescription="Create a new document." ma:contentTypeScope="" ma:versionID="898d3824205a93ac9c2775f90bbb131f">
  <xsd:schema xmlns:xsd="http://www.w3.org/2001/XMLSchema" xmlns:xs="http://www.w3.org/2001/XMLSchema" xmlns:p="http://schemas.microsoft.com/office/2006/metadata/properties" xmlns:ns2="30fb3514-57f3-43d7-8a04-2a0a52bb0f40" xmlns:ns3="0e11384c-db64-4a7f-b983-5ea50ecd490d" targetNamespace="http://schemas.microsoft.com/office/2006/metadata/properties" ma:root="true" ma:fieldsID="ea391ee97b5ab84b8228c68887ad6508" ns2:_="" ns3:_="">
    <xsd:import namespace="30fb3514-57f3-43d7-8a04-2a0a52bb0f40"/>
    <xsd:import namespace="0e11384c-db64-4a7f-b983-5ea50ecd4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b3514-57f3-43d7-8a04-2a0a52bb0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1384c-db64-4a7f-b983-5ea50ecd4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BB8BD7-B53E-4509-829E-C960F8A226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b3514-57f3-43d7-8a04-2a0a52bb0f40"/>
    <ds:schemaRef ds:uri="0e11384c-db64-4a7f-b983-5ea50ecd49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137E11-2486-46BC-838C-0E8F7D79B351}">
  <ds:schemaRefs>
    <ds:schemaRef ds:uri="30fb3514-57f3-43d7-8a04-2a0a52bb0f40"/>
    <ds:schemaRef ds:uri="http://schemas.microsoft.com/office/2006/documentManagement/types"/>
    <ds:schemaRef ds:uri="http://purl.org/dc/dcmitype/"/>
    <ds:schemaRef ds:uri="http://www.w3.org/XML/1998/namespace"/>
    <ds:schemaRef ds:uri="0e11384c-db64-4a7f-b983-5ea50ecd490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D2D5FE-2470-4488-B1B2-4748AB5B8F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Cover</vt:lpstr>
      <vt:lpstr>Hist</vt:lpstr>
      <vt:lpstr>Summary</vt:lpstr>
      <vt:lpstr>Inp</vt:lpstr>
      <vt:lpstr>Scenarios</vt:lpstr>
      <vt:lpstr>Model</vt:lpstr>
      <vt:lpstr>BSCheck</vt:lpstr>
      <vt:lpstr>L_Scenarios</vt:lpstr>
      <vt:lpstr>million</vt:lpstr>
      <vt:lpstr>Cover!Print_Area</vt:lpstr>
      <vt:lpstr>Summary!Print_Area</vt:lpstr>
      <vt:lpstr>Inp!Print_Titles</vt:lpstr>
      <vt:lpstr>Model!Print_Titles</vt:lpstr>
      <vt:lpstr>Scenarios!Print_Titles</vt:lpstr>
      <vt:lpstr>Summary!Print_Titles</vt:lpstr>
      <vt:lpstr>S_Scenarios</vt:lpstr>
      <vt:lpstr>ScenarioUSed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2018-10-06T13:35:48Z</dcterms:created>
  <dcterms:modified xsi:type="dcterms:W3CDTF">2026-02-25T12:30:46Z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1ca19fe9-f65e-4038-846f-069edb1df7f3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0x010100005972A69AB9064D95049B970FA150B6</vt:lpwstr>
  </property>
</Properties>
</file>